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xr:revisionPtr revIDLastSave="161" documentId="11_58A9C1004ADABF42B0C69D68EA1142102AD74FA3" xr6:coauthVersionLast="47" xr6:coauthVersionMax="47" xr10:uidLastSave="{6EF904A9-00CF-42EA-B187-A5545A62FEE2}"/>
  <bookViews>
    <workbookView xWindow="0" yWindow="0" windowWidth="16384" windowHeight="8192" tabRatio="500" firstSheet="1" activeTab="2" xr2:uid="{00000000-000D-0000-FFFF-FFFF00000000}"/>
  </bookViews>
  <sheets>
    <sheet name="Sommaire" sheetId="1" r:id="rId1"/>
    <sheet name="Assurance Qualité" sheetId="2" r:id="rId2"/>
    <sheet name="Fonctionnalité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3" i="3" l="1"/>
  <c r="K12" i="3"/>
  <c r="K11" i="3"/>
  <c r="K10" i="3"/>
  <c r="K9" i="3"/>
  <c r="B18" i="3" s="1"/>
  <c r="D48" i="3"/>
  <c r="D33" i="3"/>
  <c r="D18" i="3"/>
  <c r="D47" i="3"/>
  <c r="D46" i="3"/>
  <c r="D45" i="3"/>
  <c r="C43" i="3"/>
  <c r="D42" i="3"/>
  <c r="D41" i="3"/>
  <c r="D40" i="3"/>
  <c r="D39" i="3"/>
  <c r="D38" i="3"/>
  <c r="D37" i="3"/>
  <c r="D43" i="3" s="1"/>
  <c r="D32" i="3"/>
  <c r="D31" i="3"/>
  <c r="D30" i="3"/>
  <c r="C28" i="3"/>
  <c r="D27" i="3"/>
  <c r="D26" i="3"/>
  <c r="D25" i="3"/>
  <c r="D24" i="3"/>
  <c r="D23" i="3"/>
  <c r="D22" i="3"/>
  <c r="D28" i="3" s="1"/>
  <c r="D17" i="3"/>
  <c r="D16" i="3"/>
  <c r="C14" i="3"/>
  <c r="D13" i="3"/>
  <c r="D12" i="3"/>
  <c r="D11" i="3"/>
  <c r="D10" i="3"/>
  <c r="D9" i="3"/>
  <c r="D8" i="3"/>
  <c r="D14" i="3" s="1"/>
  <c r="J56" i="2"/>
  <c r="I56" i="2"/>
  <c r="G56" i="2"/>
  <c r="F56" i="2"/>
  <c r="D56" i="2"/>
  <c r="C56" i="2"/>
  <c r="D49" i="2"/>
  <c r="C49" i="2"/>
  <c r="J48" i="2"/>
  <c r="G48" i="2"/>
  <c r="J47" i="2"/>
  <c r="G47" i="2"/>
  <c r="J46" i="2"/>
  <c r="G46" i="2"/>
  <c r="J45" i="2"/>
  <c r="G45" i="2"/>
  <c r="J44" i="2"/>
  <c r="G44" i="2"/>
  <c r="J43" i="2"/>
  <c r="G43" i="2"/>
  <c r="J42" i="2"/>
  <c r="G42" i="2"/>
  <c r="J41" i="2"/>
  <c r="G41" i="2"/>
  <c r="J40" i="2"/>
  <c r="J49" i="2" s="1"/>
  <c r="G40" i="2"/>
  <c r="G49" i="2" s="1"/>
  <c r="J38" i="2"/>
  <c r="I38" i="2"/>
  <c r="G38" i="2"/>
  <c r="F38" i="2"/>
  <c r="D38" i="2"/>
  <c r="C38" i="2"/>
  <c r="D32" i="2"/>
  <c r="C32" i="2"/>
  <c r="J31" i="2"/>
  <c r="G31" i="2"/>
  <c r="J30" i="2"/>
  <c r="G30" i="2"/>
  <c r="J29" i="2"/>
  <c r="J32" i="2" s="1"/>
  <c r="G29" i="2"/>
  <c r="G32" i="2" s="1"/>
  <c r="J27" i="2"/>
  <c r="I27" i="2"/>
  <c r="G27" i="2"/>
  <c r="F27" i="2"/>
  <c r="D27" i="2"/>
  <c r="C27" i="2"/>
  <c r="J22" i="2"/>
  <c r="I22" i="2"/>
  <c r="G22" i="2"/>
  <c r="F22" i="2"/>
  <c r="D22" i="2"/>
  <c r="C22" i="2"/>
  <c r="D18" i="2"/>
  <c r="C18" i="2"/>
  <c r="G17" i="2"/>
  <c r="J17" i="2" s="1"/>
  <c r="G16" i="2"/>
  <c r="J16" i="2" s="1"/>
  <c r="G15" i="2"/>
  <c r="J15" i="2" s="1"/>
  <c r="G14" i="2"/>
  <c r="J14" i="2" s="1"/>
  <c r="G13" i="2"/>
  <c r="J11" i="2"/>
  <c r="I11" i="2"/>
  <c r="G11" i="2"/>
  <c r="F11" i="2"/>
  <c r="D11" i="2"/>
  <c r="D58" i="2" s="1"/>
  <c r="C11" i="2"/>
  <c r="C58" i="2" s="1"/>
  <c r="C59" i="2" s="1"/>
  <c r="H7" i="1"/>
  <c r="C6" i="1"/>
  <c r="B6" i="1"/>
  <c r="C5" i="1"/>
  <c r="B5" i="1"/>
  <c r="D4" i="1"/>
  <c r="C4" i="1"/>
  <c r="B4" i="1"/>
  <c r="E4" i="1" s="1"/>
  <c r="H4" i="1" s="1"/>
  <c r="G18" i="2" l="1"/>
  <c r="G58" i="2" s="1"/>
  <c r="J13" i="2"/>
  <c r="J18" i="2" s="1"/>
  <c r="J58" i="2" s="1"/>
  <c r="I49" i="2"/>
  <c r="F49" i="2"/>
  <c r="I32" i="2"/>
  <c r="F32" i="2"/>
  <c r="I18" i="2"/>
  <c r="F18" i="2"/>
  <c r="I58" i="2"/>
  <c r="I59" i="2"/>
  <c r="F58" i="2"/>
  <c r="F59" i="2"/>
  <c r="D6" i="1"/>
  <c r="E6" i="1"/>
  <c r="H6" i="1"/>
  <c r="D5" i="1"/>
  <c r="E5" i="1"/>
  <c r="H5" i="1"/>
</calcChain>
</file>

<file path=xl/sharedStrings.xml><?xml version="1.0" encoding="utf-8"?>
<sst xmlns="http://schemas.openxmlformats.org/spreadsheetml/2006/main" count="250" uniqueCount="151">
  <si>
    <t>Fonctionnalités</t>
  </si>
  <si>
    <t>Validation
Logicielle</t>
  </si>
  <si>
    <t>Assurance
Qualité</t>
  </si>
  <si>
    <t>Total</t>
  </si>
  <si>
    <t>Heures de retard
(-10%)/heure</t>
  </si>
  <si>
    <t>Poids</t>
  </si>
  <si>
    <t>Note pondérée</t>
  </si>
  <si>
    <t>Sprint 1</t>
  </si>
  <si>
    <t>Sprint 2</t>
  </si>
  <si>
    <t>Sprint 3</t>
  </si>
  <si>
    <t>UX</t>
  </si>
  <si>
    <t>Grille de correction LOG2990</t>
  </si>
  <si>
    <t>Assurance Qualité</t>
  </si>
  <si>
    <t>Critère</t>
  </si>
  <si>
    <t>Description</t>
  </si>
  <si>
    <t>Note</t>
  </si>
  <si>
    <t>Commentaires</t>
  </si>
  <si>
    <t>1. Projet</t>
  </si>
  <si>
    <t>Correcteur</t>
  </si>
  <si>
    <t>Enrique</t>
  </si>
  <si>
    <t>1.1 Utilisation des Cadriciels</t>
  </si>
  <si>
    <t>Le projet respecte les meilleures pratiques des cadriciels utilisés. (Exemple: séparation des responsabilités dans les Components et Services d'Angular, syntaxe moderne d’Angular, respect de la sémantique HTTP avec Express, etc.)</t>
  </si>
  <si>
    <t>-0.25 ne manipulez pas le DOM directement, passez par des fonctionnalites Angular comme "private document = inject(DOCUMENT); de la librarie Angular". Ex: document.createElement('canvas'). Aussi avec les window events
-0.2 il faudrait faire plus de components. Ex: dans page de creation, entre autres</t>
  </si>
  <si>
    <t>1.2 Arborescence</t>
  </si>
  <si>
    <t>Le projet respecte une arborescence de fichiers claire, uniforme et structurée.
Les noms de fichiers et dossiers respectent le format kebab-case.</t>
  </si>
  <si>
    <t>-0.25 gameConst.ts ne respecte pas le format kebab-case
-0.25 regroupez les .spec et .ts des services, classes, etc dans des dossiers svp</t>
  </si>
  <si>
    <t>Sous-total</t>
  </si>
  <si>
    <t>2. Classe</t>
  </si>
  <si>
    <t>Maxime</t>
  </si>
  <si>
    <t>2.1 Responsabilité</t>
  </si>
  <si>
    <t>La classe n'a qu'une responsabilité claire.</t>
  </si>
  <si>
    <t>2.2 Attributs</t>
  </si>
  <si>
    <t>La classe comporte uniquement des attributs utilisés.
La classe comporte uniquement des attributs qui sont des états de la classe.
La classe ne comporte pas d'attribut utilisé seulement dans les tests.</t>
  </si>
  <si>
    <t>-0,2 [character-page.component] `showFormTooltip` n'est pas utilisé</t>
  </si>
  <si>
    <t>2.3 Accessibilité</t>
  </si>
  <si>
    <t>La classe minimise l'accessibilité des membres. (Bonne utilisation de public/private/protected pour les attributs et les fonctions)
Les méthodes get/set font une validation quelconque sur les attributs privés.</t>
  </si>
  <si>
    <t>-0,2 [game-card.component] `game` — modificateur d'accès absent
-0,2 [game-created.component] `game` — modificateur d'accès absent
-0,2 [map-editor.component] `gridSize` — modificateur d'accès absent
-0,2 [tools-sidebar.component] `tileType` — modificateur d'accès absent
-0,2 [admin-page.component] `games` — modificateur d'accès absent
etc ...</t>
  </si>
  <si>
    <t>2.4 Couplage</t>
  </si>
  <si>
    <t>La classe minimise le couplage aux autres classes.
La classe minimise les longues chaînes d'appels (ex : foo.bar.baz.foo)</t>
  </si>
  <si>
    <t>2.5 Valeur par défaut</t>
  </si>
  <si>
    <t>La classe initialise tous ses attributs de la même façon.
Soit à la définition, soit dans le constructeur.</t>
  </si>
  <si>
    <t>3. Fonctions et méthodes</t>
  </si>
  <si>
    <t>3.1 Utilité</t>
  </si>
  <si>
    <t>La fonction est utilie et non-triviale.
La fonction a une responsabilité claire.
La fonction n'a pas une longueur trop grande.</t>
  </si>
  <si>
    <t>-0.05 ngOnInit de map-editor.component grande et peu se diviser
-0.25 generatePreview trop grande et peut se diviser
-0.25  isMapAccessible trop grande et peut se diviser isMapAccessible</t>
  </si>
  <si>
    <t>3.2 Paramètres</t>
  </si>
  <si>
    <t>La fonction possède le moins de paramètres possibles en entrée.
La fonction possède uniquement des paramètres d'entrée qui sont utilisés.</t>
  </si>
  <si>
    <t>-0,25 les fonctions avec x,y ou row, column comme params devraient avoir moins de params surout parce que on fournit une interface Vec ou vous pouvez creer la votre Position</t>
  </si>
  <si>
    <t>4. Gestion des ressources et erreurs</t>
  </si>
  <si>
    <t>4.1 Console</t>
  </si>
  <si>
    <t>La console ne génère pas de message d'avertissement (warning) ou d'erreur (error) qui aurait pu être gérés par le programme.</t>
  </si>
  <si>
    <t>4.2 Code asynchrone</t>
  </si>
  <si>
    <t>Le code asynchrone (Promise, Observable, Event) est géré adéquatement.</t>
  </si>
  <si>
    <t>-0,25 `return await` inutile [game.service] — utiliser `return` directement</t>
  </si>
  <si>
    <t>4.3 Messages d'erreur</t>
  </si>
  <si>
    <t>Les messages d'erreur sont précis et compréhensibles par l'utilisateur moyen.</t>
  </si>
  <si>
    <t>5. Variables et constantes</t>
  </si>
  <si>
    <t>5.1 Groupement</t>
  </si>
  <si>
    <t>Les constantes sont regroupées ensemble en groupes logiques.</t>
  </si>
  <si>
    <t>BASE_LIFE, BASE_SPEED, BASE_ATTACK, BASE_DEFENSE, NUMBER_OF_AVATARS, HALF_RANDOM, DEFAULT_PREVIEW_SIZE, OBJECT_PADDING_RATIO, OBJECT_QUANTITY_SMALL, etc.  Faites un dossier constantes.</t>
  </si>
  <si>
    <t>5.2 Environnement</t>
  </si>
  <si>
    <t>Des variables d'environnements sont utilisées lorsque possible.</t>
  </si>
  <si>
    <t>5.3 Contexte d'utilisation</t>
  </si>
  <si>
    <t>La constante est utilisé dans un contexte lié à la logique d'affaire. (Exemple d'erreur: const DEUX = 2,  bonne utilisation: WAIT_TIME = 5000 )</t>
  </si>
  <si>
    <t>6. Expressions booléennes</t>
  </si>
  <si>
    <t>6.1 Expression</t>
  </si>
  <si>
    <t>Pas de comparaisons inutiles dans une expression booléenne. (Exemple d'erreur: x === true)</t>
  </si>
  <si>
    <t>6.2 Logique négative</t>
  </si>
  <si>
    <t>L'expression booléenne évite la logique négative. (Exemple d'erreur:  if( !notFound(…) )</t>
  </si>
  <si>
    <t>6.3 Ternaire</t>
  </si>
  <si>
    <t>Bonne utilisation des expressions ternaires.
Pas d'imbrications de ternaires qui nuisent à la compréhension de l'expression booléenne</t>
  </si>
  <si>
    <t>6.4 Prédicats</t>
  </si>
  <si>
    <t>L'expression booléenne est simple. (Exemple d'erreur : if(a &amp;&amp; b &amp;&amp; !c || d)
L'expression booléenne utilise un ou des prédicats pour simplifier une condition complexe.</t>
  </si>
  <si>
    <t>-0,25 [save.service] expression booleenne trop longue (6 operandes)
         newX &gt;= 0 &amp;&amp; ...</t>
  </si>
  <si>
    <t>7. Qualité générale</t>
  </si>
  <si>
    <t>Hamza</t>
  </si>
  <si>
    <t>7.1 Langue</t>
  </si>
  <si>
    <t>La langue utilisée pour le code source est uniforme pour tout le code source.
La langue utilisée pour les commentaires doit être uniforme, mais peut être différente que la langue du code source.</t>
  </si>
  <si>
    <t>7.2 Commentaire</t>
  </si>
  <si>
    <t>Le commentaire est pertinent. (Pas de code mort commenté)</t>
  </si>
  <si>
    <t>Erreurs : 
-1 : Fichier app.component.spec.ts commenté au complet. Même chose pour les tests de edition-page.component.ts, ...</t>
  </si>
  <si>
    <t>7.3 Enum</t>
  </si>
  <si>
    <t>Le code utilise des enum lorsque c'est pertinent.</t>
  </si>
  <si>
    <t>Erreurs : 
-0.2 : Utilisez des enum pour vos socket events au lieu des strings. admin-page.component.ts par exemple. Vous pouvez les mettre dans common, pour faciliter le partage entre le client et le serveur des même messages socket.
-0.4 : StatKey, BonusTarget, DiceTarget, DieKind devraient être des enum. Ça va éviter d'avoir des string magique dans votre code.</t>
  </si>
  <si>
    <t>7.4 Classe et interface</t>
  </si>
  <si>
    <t>Le code n'utilise pas d'objets anonymes JS et priorise les classes et les interfaces.</t>
  </si>
  <si>
    <t>7.5 Duplication</t>
  </si>
  <si>
    <t>Il n'y a pas de duplication de code.</t>
  </si>
  <si>
    <t xml:space="preserve">Erreurs : 
-0.5 : game-size.const.ts et gameConst.ts ont les mêmes const. Pourquoi avoir les deux?
-0.1 : Dans game-utils.ts, si min-players a toujours la même valeur, vous pouvez le sortir du switch case au lieu de répeter la ligne minPlayers = MIN_PLAYERS 4 fois.
</t>
  </si>
  <si>
    <t>7.6 ESLint</t>
  </si>
  <si>
    <t>Il n'y a pas de "eslint:disable" non justifiés dans le code.
L'utilisation limitée de eslint:disable est tolérée dans les fichiers de test (.spec.ts). (Exemple : nombres magiques)</t>
  </si>
  <si>
    <t>7.7 Complexité</t>
  </si>
  <si>
    <t>Le code minimise la complexité cyclomatique. (Exemple : plusieurs if/else ou boucles for imbriqués, opérations complexes, etc.)</t>
  </si>
  <si>
    <t>7.7 Nomenclature des variables, classes et méthodes</t>
  </si>
  <si>
    <t>Les noms des variables, classes et méthodes sont précis et clairs.
Les noms respectent un format unique:  camelCase pour les variables et méthodes, SCREAMING_SNAKE_CASE pour les constantes, etc .
Les noms ne sont pas troncés excessivement. (Exemple: utiliser background au lieu de seulement bg).</t>
  </si>
  <si>
    <t>Erreurs : 
-0.2 : Dans map-preview.service.ts, variable p dans loadImage trop tronquée.</t>
  </si>
  <si>
    <t>7.8 Performance</t>
  </si>
  <si>
    <t>Le logiciel a une performance acceptable.</t>
  </si>
  <si>
    <t>8. Gestion de versions</t>
  </si>
  <si>
    <t>8.1 Tag et remise</t>
  </si>
  <si>
    <t>Le commit de remise possède le bon tag. (sprint1, sprint2, sprint3)</t>
  </si>
  <si>
    <t>8.2 Commits</t>
  </si>
  <si>
    <t>Les commits ont un message pertinent, descriptif et structuré selon une convention quelconque.</t>
  </si>
  <si>
    <t>Erreurs :
-0.1 : e5d2f875 ("changement,")
-0.1 : 378cb192 (fonctionnalité au lieu de feat)</t>
  </si>
  <si>
    <t>8.3 Branches mortes</t>
  </si>
  <si>
    <t xml:space="preserve">Le projet ne contient pas de branches mortes (stale branch). Une branche est considérée comme morte si elle n'a pas de commit pendant plus de 3 semaines. </t>
  </si>
  <si>
    <t>Erreurs :
-1 : feature/amelioration-game-service, feature/menage-vue-edition, feature/creation-de-partie, ...</t>
  </si>
  <si>
    <t>8.4 Gitlab</t>
  </si>
  <si>
    <t>Des Merge Requests sont utilisées pour fusionner vers la branche de production.
Une Merge Request est revue par au moins un membre de l'équipe avant la fusion.
Les Issues sont mis à jour tout au long du projet.</t>
  </si>
  <si>
    <t>8.5 Fichiers</t>
  </si>
  <si>
    <t>Le projet contient uniquement les fichiers nécessaires. (Exemple: pas de dossier node_modules ou coverage, pas de fichiers package.json à la racine, etc.).</t>
  </si>
  <si>
    <t>Total QA sprint</t>
  </si>
  <si>
    <t>Note QA sprint</t>
  </si>
  <si>
    <t>Grille de correction LOG2995 - Hiver 2026</t>
  </si>
  <si>
    <t>Validation logicielle</t>
  </si>
  <si>
    <t>Fonctionnalité</t>
  </si>
  <si>
    <t>Note finale</t>
  </si>
  <si>
    <t>Vue initiale</t>
  </si>
  <si>
    <t>Vue d'administration</t>
  </si>
  <si>
    <t>Stratégie de test</t>
  </si>
  <si>
    <t>Enregistrement et gestion des jeux (validation logicielle)</t>
  </si>
  <si>
    <t xml:space="preserve">Supprimer un jeu pendant son édition par un autre client -&gt; doit générer un nouveau jeu: Non
</t>
  </si>
  <si>
    <t>Explication des cas limites</t>
  </si>
  <si>
    <t>-0,1 - save.service.spec.ts : de nombreux cas limites sont testés (id inexistant, carte 100% murs, spawn points incorrects, nom dupliqué) mais aucun n'est justifié dans l'en-tête — pourquoi ces valeurs
  sont-elles des cas limites n'est pas expliqué.
-0,1 - admin-page.component.spec.ts : le cas "id undefined" et les erreurs de service sont présents mais non justifiés dans l'en-tête.
-0,1 - game.service.spec.ts (serveur) : aucun cas limite signalé et justifié dans l'en-tête malgré deleteGame retournant false.</t>
  </si>
  <si>
    <t>Vue d'édition</t>
  </si>
  <si>
    <t>Drapeau alors que mode normal, placable en plus
Pas de limite de texte dans la creation de map, fait lag le ui</t>
  </si>
  <si>
    <t>Cas limites</t>
  </si>
  <si>
    <t xml:space="preserve">  Cas limites absents :
-0,1 - Visibilité cachée par défaut à la création (fonctionnalité : visibilité cachée par défaut)
-0,1 - Jeu déjà supprimé au moment de la suppression (fonctionnalité : avertissement jeu déjà supprimé)
-0,1 - Sauvegarde d'un jeu lors d'une édition pendant laquelle un autre utilisateur l'a supprimé (fonctionnalité : suppression pendant édition crée nouveau jeu)</t>
  </si>
  <si>
    <t>Création ou édition d'un jeu</t>
  </si>
  <si>
    <t>Qualité des tests</t>
  </si>
  <si>
    <t>-0,2 edition-page.component.spec.ts et app.component.spec.ts sont entièrement commentés — aucun en-tête de stratégie, aucun test actif. Enlever les fichiers de tests si ils ne sont pas utilisés</t>
  </si>
  <si>
    <t>Vue de création d'une partie</t>
  </si>
  <si>
    <t>Note finale pour le sprint</t>
  </si>
  <si>
    <t>Pénalités</t>
  </si>
  <si>
    <t>Crash</t>
  </si>
  <si>
    <t>Erreur de build ou de tests</t>
  </si>
  <si>
    <t>Validation Logicielle</t>
  </si>
  <si>
    <t>Vue d'attente</t>
  </si>
  <si>
    <t>Joindre une partie (validation logicielle)</t>
  </si>
  <si>
    <t>Vue de jeu</t>
  </si>
  <si>
    <t>Partie classique - déplacement et tours</t>
  </si>
  <si>
    <t>Mode de débogage</t>
  </si>
  <si>
    <t>Clavardage</t>
  </si>
  <si>
    <t>Erreur de build ou de tests / déploiement erroné</t>
  </si>
  <si>
    <t>Anciennes fonctionnalités brisées</t>
  </si>
  <si>
    <t>Partie classique - combat et actions (validation logicielle)</t>
  </si>
  <si>
    <t>Éditeur avancé</t>
  </si>
  <si>
    <t>Joueurs virtuels</t>
  </si>
  <si>
    <t>Partie en mode CTF</t>
  </si>
  <si>
    <t>Journal de jeu</t>
  </si>
  <si>
    <t>Statistiques de fin de partie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</si>
</sst>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amily val="2"/>
      <charset val="1"/>
    </font>
    <font>
      <sz val="11"/>
      <color rgb="FF000000"/>
      <name val="Calibri"/>
      <charset val="1"/>
    </font>
    <font>
      <b/>
      <sz val="11"/>
      <color rgb="FF3F3F3F"/>
      <name val="Calibri"/>
      <charset val="1"/>
    </font>
    <font>
      <b/>
      <sz val="14"/>
      <color rgb="FF000000"/>
      <name val="Calibri"/>
      <family val="2"/>
      <charset val="1"/>
    </font>
    <font>
      <b/>
      <sz val="14"/>
      <color rgb="FFFFFFFF"/>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b/>
      <sz val="14"/>
      <color rgb="FF000000"/>
      <name val="Calibri"/>
      <charset val="1"/>
    </font>
    <font>
      <b/>
      <sz val="18"/>
      <color rgb="FF000000"/>
      <name val="Calibri"/>
      <charset val="1"/>
    </font>
    <font>
      <b/>
      <sz val="11"/>
      <color rgb="FF000000"/>
      <name val="Calibri"/>
      <charset val="1"/>
    </font>
    <font>
      <sz val="11"/>
      <color rgb="FF000000"/>
      <name val="Calibri"/>
      <family val="2"/>
      <charset val="1"/>
    </font>
    <font>
      <b/>
      <sz val="11"/>
      <color rgb="FF000000"/>
      <name val="Calibri"/>
      <family val="2"/>
      <charset val="1"/>
    </font>
  </fonts>
  <fills count="19">
    <fill>
      <patternFill patternType="none"/>
    </fill>
    <fill>
      <patternFill patternType="gray125"/>
    </fill>
    <fill>
      <patternFill patternType="solid">
        <fgColor rgb="FFF2F2F2"/>
        <bgColor rgb="FFEDEDED"/>
      </patternFill>
    </fill>
    <fill>
      <patternFill patternType="solid">
        <fgColor rgb="FFB4C7E7"/>
        <bgColor rgb="FFB4C6E7"/>
      </patternFill>
    </fill>
    <fill>
      <patternFill patternType="solid">
        <fgColor rgb="FFF8CBAD"/>
        <bgColor rgb="FFFFE699"/>
      </patternFill>
    </fill>
    <fill>
      <patternFill patternType="solid">
        <fgColor rgb="FFDBDBDB"/>
        <bgColor rgb="FFDAE3F3"/>
      </patternFill>
    </fill>
    <fill>
      <patternFill patternType="solid">
        <fgColor rgb="FFE7E6E6"/>
        <bgColor rgb="FFEDEDED"/>
      </patternFill>
    </fill>
    <fill>
      <patternFill patternType="solid">
        <fgColor rgb="FFE2EFDA"/>
        <bgColor rgb="FFE2F0D9"/>
      </patternFill>
    </fill>
    <fill>
      <patternFill patternType="solid">
        <fgColor rgb="FFFFF2CC"/>
        <bgColor rgb="FFF2F2F2"/>
      </patternFill>
    </fill>
    <fill>
      <patternFill patternType="solid">
        <fgColor rgb="FFB4C6E7"/>
        <bgColor rgb="FFB4C7E7"/>
      </patternFill>
    </fill>
    <fill>
      <patternFill patternType="solid">
        <fgColor rgb="FFFFC000"/>
        <bgColor rgb="FFFF9900"/>
      </patternFill>
    </fill>
    <fill>
      <patternFill patternType="solid">
        <fgColor rgb="FFE2F0D9"/>
        <bgColor rgb="FFE2EFDA"/>
      </patternFill>
    </fill>
    <fill>
      <patternFill patternType="solid">
        <fgColor rgb="FFDEEBF7"/>
        <bgColor rgb="FFDAE3F3"/>
      </patternFill>
    </fill>
    <fill>
      <patternFill patternType="solid">
        <fgColor rgb="FFEDEDED"/>
        <bgColor rgb="FFF2F2F2"/>
      </patternFill>
    </fill>
    <fill>
      <patternFill patternType="solid">
        <fgColor rgb="FFC9C9C9"/>
        <bgColor rgb="FFB4C7E7"/>
      </patternFill>
    </fill>
    <fill>
      <patternFill patternType="solid">
        <fgColor rgb="FFDAE3F3"/>
        <bgColor rgb="FFDEEBF7"/>
      </patternFill>
    </fill>
    <fill>
      <patternFill patternType="solid">
        <fgColor rgb="FFC5E0B4"/>
        <bgColor rgb="FFDBDBDB"/>
      </patternFill>
    </fill>
    <fill>
      <patternFill patternType="solid">
        <fgColor rgb="FFFFE699"/>
        <bgColor rgb="FFFFF2CC"/>
      </patternFill>
    </fill>
    <fill>
      <patternFill patternType="solid">
        <fgColor rgb="FFBDD7EE"/>
        <bgColor rgb="FFB4C7E7"/>
      </patternFill>
    </fill>
  </fills>
  <borders count="43">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diagonal/>
    </border>
    <border>
      <left style="medium">
        <color auto="1"/>
      </left>
      <right style="medium">
        <color auto="1"/>
      </right>
      <top/>
      <bottom style="medium">
        <color auto="1"/>
      </bottom>
      <diagonal/>
    </border>
  </borders>
  <cellStyleXfs count="6">
    <xf numFmtId="0" fontId="0" fillId="0" borderId="0"/>
    <xf numFmtId="9" fontId="11" fillId="0" borderId="0" applyBorder="0" applyProtection="0"/>
    <xf numFmtId="0" fontId="2" fillId="2" borderId="1" applyProtection="0"/>
    <xf numFmtId="0" fontId="1" fillId="3" borderId="0" applyBorder="0" applyProtection="0"/>
    <xf numFmtId="0" fontId="1" fillId="4" borderId="0" applyBorder="0" applyProtection="0"/>
    <xf numFmtId="0" fontId="1" fillId="5" borderId="0" applyBorder="0" applyProtection="0"/>
  </cellStyleXfs>
  <cellXfs count="270">
    <xf numFmtId="0" fontId="0" fillId="0" borderId="0" xfId="0"/>
    <xf numFmtId="0" fontId="5" fillId="13" borderId="6" xfId="0" applyFont="1" applyFill="1" applyBorder="1" applyAlignment="1">
      <alignment horizontal="left" vertical="center" wrapText="1"/>
    </xf>
    <xf numFmtId="0" fontId="0" fillId="0" borderId="0" xfId="0" applyAlignment="1">
      <alignment horizontal="center" vertical="center"/>
    </xf>
    <xf numFmtId="0" fontId="3" fillId="0" borderId="0" xfId="0" applyFont="1" applyAlignment="1">
      <alignment horizontal="left" vertical="center" wrapText="1"/>
    </xf>
    <xf numFmtId="0" fontId="1" fillId="6" borderId="2" xfId="2" applyFont="1" applyFill="1" applyBorder="1" applyAlignment="1" applyProtection="1">
      <alignment horizontal="center" vertical="center"/>
    </xf>
    <xf numFmtId="0" fontId="1" fillId="6" borderId="2" xfId="2" applyFont="1" applyFill="1" applyBorder="1" applyAlignment="1" applyProtection="1">
      <alignment horizontal="center" vertical="center" wrapText="1"/>
    </xf>
    <xf numFmtId="0" fontId="1" fillId="6" borderId="2" xfId="0" applyFont="1" applyFill="1" applyBorder="1" applyAlignment="1">
      <alignment horizontal="center"/>
    </xf>
    <xf numFmtId="0" fontId="1" fillId="6" borderId="2" xfId="0" applyFont="1" applyFill="1" applyBorder="1"/>
    <xf numFmtId="0" fontId="1" fillId="7" borderId="3" xfId="3" applyFill="1" applyBorder="1" applyAlignment="1" applyProtection="1">
      <alignment horizontal="center" vertical="center"/>
    </xf>
    <xf numFmtId="10" fontId="1" fillId="7" borderId="3" xfId="3" applyNumberFormat="1" applyFill="1" applyBorder="1" applyAlignment="1" applyProtection="1">
      <alignment horizontal="center" vertical="center"/>
    </xf>
    <xf numFmtId="0" fontId="0" fillId="7" borderId="3" xfId="0" applyFill="1" applyBorder="1"/>
    <xf numFmtId="1" fontId="0" fillId="7" borderId="3" xfId="0" applyNumberFormat="1" applyFill="1" applyBorder="1" applyAlignment="1">
      <alignment horizontal="center"/>
    </xf>
    <xf numFmtId="2" fontId="0" fillId="7" borderId="3" xfId="0" applyNumberFormat="1" applyFill="1" applyBorder="1" applyAlignment="1">
      <alignment horizontal="center"/>
    </xf>
    <xf numFmtId="0" fontId="1" fillId="8" borderId="3" xfId="4" applyFill="1" applyBorder="1" applyAlignment="1" applyProtection="1">
      <alignment horizontal="center" vertical="center"/>
    </xf>
    <xf numFmtId="10" fontId="1" fillId="8" borderId="3" xfId="4" applyNumberFormat="1" applyFill="1" applyBorder="1" applyAlignment="1" applyProtection="1">
      <alignment horizontal="center" vertical="center"/>
    </xf>
    <xf numFmtId="0" fontId="0" fillId="8" borderId="3" xfId="0" applyFill="1" applyBorder="1"/>
    <xf numFmtId="1" fontId="0" fillId="8" borderId="3" xfId="0" applyNumberFormat="1" applyFill="1" applyBorder="1" applyAlignment="1">
      <alignment horizontal="center"/>
    </xf>
    <xf numFmtId="2" fontId="0" fillId="8" borderId="3" xfId="0" applyNumberFormat="1" applyFill="1" applyBorder="1" applyAlignment="1">
      <alignment horizontal="center"/>
    </xf>
    <xf numFmtId="0" fontId="1" fillId="9" borderId="3" xfId="5" applyFill="1" applyBorder="1" applyAlignment="1" applyProtection="1">
      <alignment horizontal="center" vertical="center"/>
    </xf>
    <xf numFmtId="10" fontId="1" fillId="9" borderId="3" xfId="5" applyNumberFormat="1" applyFill="1" applyBorder="1" applyAlignment="1" applyProtection="1">
      <alignment horizontal="center" vertical="center"/>
    </xf>
    <xf numFmtId="0" fontId="0" fillId="9" borderId="3" xfId="0" applyFill="1" applyBorder="1"/>
    <xf numFmtId="1" fontId="0" fillId="9" borderId="3" xfId="0" applyNumberFormat="1" applyFill="1" applyBorder="1" applyAlignment="1">
      <alignment horizontal="center"/>
    </xf>
    <xf numFmtId="2" fontId="0" fillId="9" borderId="3" xfId="0" applyNumberFormat="1" applyFill="1" applyBorder="1" applyAlignment="1">
      <alignment horizontal="center"/>
    </xf>
    <xf numFmtId="0" fontId="0" fillId="10" borderId="3" xfId="0" applyFill="1" applyBorder="1" applyAlignment="1">
      <alignment horizontal="center"/>
    </xf>
    <xf numFmtId="10" fontId="0" fillId="10" borderId="3" xfId="0" applyNumberFormat="1" applyFill="1" applyBorder="1" applyAlignment="1">
      <alignment horizontal="center"/>
    </xf>
    <xf numFmtId="0" fontId="0" fillId="10" borderId="3" xfId="0" applyFill="1" applyBorder="1"/>
    <xf numFmtId="2" fontId="0" fillId="10" borderId="3" xfId="0" applyNumberFormat="1" applyFill="1" applyBorder="1" applyAlignment="1">
      <alignment horizontal="center"/>
    </xf>
    <xf numFmtId="0" fontId="0" fillId="0" borderId="0" xfId="0" applyAlignment="1">
      <alignment wrapText="1"/>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11" borderId="10"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2" xfId="0" applyFont="1" applyFill="1" applyBorder="1" applyAlignment="1">
      <alignment horizontal="left" vertical="center" wrapText="1"/>
    </xf>
    <xf numFmtId="0" fontId="3" fillId="8" borderId="10"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3" fillId="12" borderId="10" xfId="0" applyFont="1" applyFill="1" applyBorder="1" applyAlignment="1">
      <alignment horizontal="center" vertical="center" wrapText="1"/>
    </xf>
    <xf numFmtId="0" fontId="3" fillId="12" borderId="11" xfId="0" applyFont="1" applyFill="1" applyBorder="1" applyAlignment="1">
      <alignment horizontal="center" vertical="center" wrapText="1"/>
    </xf>
    <xf numFmtId="0" fontId="3" fillId="12" borderId="13" xfId="0" applyFont="1" applyFill="1" applyBorder="1" applyAlignment="1">
      <alignment horizontal="left" vertical="center" wrapText="1"/>
    </xf>
    <xf numFmtId="0" fontId="0" fillId="13" borderId="14" xfId="0" applyFill="1" applyBorder="1" applyAlignment="1">
      <alignment vertical="center" wrapText="1"/>
    </xf>
    <xf numFmtId="49" fontId="0" fillId="0" borderId="15" xfId="0" applyNumberFormat="1" applyBorder="1" applyAlignment="1">
      <alignment horizontal="left" vertical="center" wrapText="1"/>
    </xf>
    <xf numFmtId="0" fontId="0" fillId="11" borderId="16" xfId="0" applyFill="1" applyBorder="1" applyAlignment="1">
      <alignment horizontal="center" vertical="center" wrapText="1"/>
    </xf>
    <xf numFmtId="0" fontId="0" fillId="11" borderId="17" xfId="0" applyFill="1" applyBorder="1" applyAlignment="1">
      <alignment horizontal="center" vertical="center" wrapText="1"/>
    </xf>
    <xf numFmtId="0" fontId="0" fillId="11" borderId="17" xfId="0" applyFill="1" applyBorder="1" applyAlignment="1">
      <alignment horizontal="left" vertical="center" wrapText="1"/>
    </xf>
    <xf numFmtId="0" fontId="0" fillId="8" borderId="16"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17" xfId="0" applyFill="1" applyBorder="1" applyAlignment="1">
      <alignment horizontal="left" vertical="center" wrapText="1"/>
    </xf>
    <xf numFmtId="0" fontId="0" fillId="12" borderId="16"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18" xfId="0" applyFill="1" applyBorder="1" applyAlignment="1">
      <alignment horizontal="left" vertical="center" wrapText="1"/>
    </xf>
    <xf numFmtId="49" fontId="0" fillId="0" borderId="19" xfId="0" applyNumberFormat="1" applyBorder="1" applyAlignment="1">
      <alignment horizontal="left" vertical="center" wrapText="1"/>
    </xf>
    <xf numFmtId="0" fontId="6" fillId="11" borderId="21" xfId="0" applyFont="1" applyFill="1" applyBorder="1" applyAlignment="1">
      <alignment horizontal="center" vertical="center" wrapText="1"/>
    </xf>
    <xf numFmtId="0" fontId="6" fillId="11" borderId="22" xfId="0" applyFont="1" applyFill="1" applyBorder="1" applyAlignment="1">
      <alignment horizontal="center" vertical="center" wrapText="1"/>
    </xf>
    <xf numFmtId="0" fontId="6" fillId="11" borderId="23" xfId="0" applyFont="1" applyFill="1" applyBorder="1" applyAlignment="1">
      <alignment horizontal="left" vertical="center" wrapText="1"/>
    </xf>
    <xf numFmtId="0" fontId="6" fillId="8" borderId="21" xfId="0" applyFont="1" applyFill="1" applyBorder="1" applyAlignment="1">
      <alignment horizontal="center" vertical="center" wrapText="1"/>
    </xf>
    <xf numFmtId="0" fontId="6" fillId="8" borderId="22" xfId="0" applyFont="1" applyFill="1" applyBorder="1" applyAlignment="1">
      <alignment horizontal="center" vertical="center" wrapText="1"/>
    </xf>
    <xf numFmtId="0" fontId="6" fillId="8" borderId="23" xfId="0" applyFont="1" applyFill="1" applyBorder="1" applyAlignment="1">
      <alignment horizontal="left"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left" vertical="center" wrapText="1"/>
    </xf>
    <xf numFmtId="0" fontId="6" fillId="0" borderId="0" xfId="0" applyFont="1" applyAlignment="1">
      <alignment horizontal="center" vertical="center" wrapText="1"/>
    </xf>
    <xf numFmtId="0" fontId="6" fillId="0" borderId="0" xfId="0" applyFont="1"/>
    <xf numFmtId="0" fontId="5" fillId="0" borderId="0" xfId="0" applyFont="1"/>
    <xf numFmtId="0" fontId="0" fillId="11" borderId="24" xfId="0" applyFill="1" applyBorder="1" applyAlignment="1">
      <alignment horizontal="center" vertical="center" wrapText="1"/>
    </xf>
    <xf numFmtId="0" fontId="0" fillId="11" borderId="15" xfId="0" applyFill="1" applyBorder="1" applyAlignment="1">
      <alignment horizontal="center" vertical="center" wrapText="1"/>
    </xf>
    <xf numFmtId="0" fontId="0" fillId="11" borderId="25" xfId="0" applyFill="1" applyBorder="1" applyAlignment="1">
      <alignment horizontal="left" vertical="center" wrapText="1"/>
    </xf>
    <xf numFmtId="0" fontId="0" fillId="8" borderId="24"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25" xfId="0" applyFill="1" applyBorder="1" applyAlignment="1">
      <alignment horizontal="left" vertical="center" wrapText="1"/>
    </xf>
    <xf numFmtId="0" fontId="0" fillId="12" borderId="24"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25" xfId="0" applyFill="1" applyBorder="1" applyAlignment="1">
      <alignment horizontal="left" vertical="center" wrapText="1"/>
    </xf>
    <xf numFmtId="0" fontId="0" fillId="0" borderId="0" xfId="0" applyAlignment="1">
      <alignment horizontal="center" vertical="center" wrapText="1"/>
    </xf>
    <xf numFmtId="0" fontId="0" fillId="11" borderId="26" xfId="0" applyFill="1" applyBorder="1" applyAlignment="1">
      <alignment horizontal="center" vertical="center" wrapText="1"/>
    </xf>
    <xf numFmtId="0" fontId="0" fillId="11" borderId="19" xfId="0" applyFill="1" applyBorder="1" applyAlignment="1">
      <alignment horizontal="center" vertical="center" wrapText="1"/>
    </xf>
    <xf numFmtId="0" fontId="0" fillId="11" borderId="27" xfId="0" applyFill="1" applyBorder="1" applyAlignment="1">
      <alignment horizontal="left" vertical="center" wrapText="1"/>
    </xf>
    <xf numFmtId="0" fontId="0" fillId="8" borderId="26" xfId="0" applyFill="1" applyBorder="1" applyAlignment="1">
      <alignment horizontal="center" vertical="center" wrapText="1"/>
    </xf>
    <xf numFmtId="0" fontId="0" fillId="8" borderId="27" xfId="0" applyFill="1" applyBorder="1" applyAlignment="1">
      <alignment horizontal="left" vertical="center" wrapText="1"/>
    </xf>
    <xf numFmtId="0" fontId="0" fillId="12" borderId="26" xfId="0" applyFill="1" applyBorder="1" applyAlignment="1">
      <alignment horizontal="center" vertical="center" wrapText="1"/>
    </xf>
    <xf numFmtId="0" fontId="0" fillId="12" borderId="27" xfId="0" applyFill="1" applyBorder="1" applyAlignment="1">
      <alignment horizontal="left" vertical="center" wrapText="1"/>
    </xf>
    <xf numFmtId="0" fontId="0" fillId="8" borderId="19" xfId="0" applyFill="1" applyBorder="1" applyAlignment="1">
      <alignment horizontal="center" vertical="center" wrapText="1"/>
    </xf>
    <xf numFmtId="0" fontId="0" fillId="12" borderId="19" xfId="0" applyFill="1" applyBorder="1" applyAlignment="1">
      <alignment horizontal="center" vertical="center" wrapText="1"/>
    </xf>
    <xf numFmtId="0" fontId="6" fillId="11" borderId="28" xfId="0" applyFont="1" applyFill="1" applyBorder="1" applyAlignment="1">
      <alignment horizontal="center" vertical="center" wrapText="1"/>
    </xf>
    <xf numFmtId="0" fontId="6" fillId="11" borderId="29" xfId="0" applyFont="1" applyFill="1" applyBorder="1" applyAlignment="1">
      <alignment horizontal="center" vertical="center" wrapText="1"/>
    </xf>
    <xf numFmtId="0" fontId="6" fillId="11" borderId="30" xfId="0" applyFont="1" applyFill="1" applyBorder="1" applyAlignment="1">
      <alignment horizontal="left" vertical="center" wrapText="1"/>
    </xf>
    <xf numFmtId="0" fontId="6" fillId="8" borderId="28"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8" borderId="30" xfId="0" applyFont="1" applyFill="1" applyBorder="1" applyAlignment="1">
      <alignment horizontal="left" vertical="center" wrapText="1"/>
    </xf>
    <xf numFmtId="0" fontId="6" fillId="12" borderId="28" xfId="0" applyFont="1" applyFill="1" applyBorder="1" applyAlignment="1">
      <alignment horizontal="center" vertical="center" wrapText="1"/>
    </xf>
    <xf numFmtId="0" fontId="6" fillId="12" borderId="29" xfId="0" applyFont="1" applyFill="1" applyBorder="1" applyAlignment="1">
      <alignment horizontal="center" vertical="center" wrapText="1"/>
    </xf>
    <xf numFmtId="0" fontId="6" fillId="12" borderId="30" xfId="0" applyFont="1" applyFill="1" applyBorder="1" applyAlignment="1">
      <alignment horizontal="left" vertical="center" wrapText="1"/>
    </xf>
    <xf numFmtId="0" fontId="5" fillId="13" borderId="6" xfId="0" applyFont="1" applyFill="1" applyBorder="1" applyAlignment="1">
      <alignment vertical="center"/>
    </xf>
    <xf numFmtId="49" fontId="0" fillId="0" borderId="31" xfId="0" applyNumberFormat="1" applyBorder="1" applyAlignment="1">
      <alignment horizontal="left" vertical="center" wrapText="1"/>
    </xf>
    <xf numFmtId="0" fontId="0" fillId="11" borderId="8" xfId="0" applyFill="1" applyBorder="1" applyAlignment="1">
      <alignment horizontal="center" vertical="center" wrapText="1"/>
    </xf>
    <xf numFmtId="0" fontId="0" fillId="11" borderId="31" xfId="0" applyFill="1" applyBorder="1" applyAlignment="1">
      <alignment horizontal="center" vertical="center" wrapText="1"/>
    </xf>
    <xf numFmtId="0" fontId="0" fillId="11" borderId="32" xfId="0" applyFill="1" applyBorder="1" applyAlignment="1">
      <alignment horizontal="left" vertical="center" wrapText="1"/>
    </xf>
    <xf numFmtId="0" fontId="0" fillId="8" borderId="8" xfId="0" applyFill="1" applyBorder="1" applyAlignment="1">
      <alignment horizontal="center" vertical="center" wrapText="1"/>
    </xf>
    <xf numFmtId="0" fontId="0" fillId="8" borderId="31" xfId="0" applyFill="1" applyBorder="1" applyAlignment="1">
      <alignment horizontal="center" vertical="center" wrapText="1"/>
    </xf>
    <xf numFmtId="0" fontId="0" fillId="8" borderId="32" xfId="0" applyFill="1" applyBorder="1" applyAlignment="1">
      <alignment horizontal="left" vertical="center" wrapText="1"/>
    </xf>
    <xf numFmtId="0" fontId="0" fillId="12" borderId="8" xfId="0" applyFill="1" applyBorder="1" applyAlignment="1">
      <alignment horizontal="center" vertical="center" wrapText="1"/>
    </xf>
    <xf numFmtId="0" fontId="0" fillId="12" borderId="31" xfId="0" applyFill="1" applyBorder="1" applyAlignment="1">
      <alignment horizontal="center" vertical="center" wrapText="1"/>
    </xf>
    <xf numFmtId="0" fontId="0" fillId="12" borderId="32" xfId="0" applyFill="1" applyBorder="1" applyAlignment="1">
      <alignment horizontal="left" vertical="center" wrapText="1"/>
    </xf>
    <xf numFmtId="0" fontId="0" fillId="13" borderId="6" xfId="0" applyFill="1" applyBorder="1" applyAlignment="1">
      <alignment vertical="center" wrapText="1"/>
    </xf>
    <xf numFmtId="0" fontId="7" fillId="0" borderId="0" xfId="0" applyFont="1"/>
    <xf numFmtId="49" fontId="0" fillId="0" borderId="15" xfId="0" applyNumberFormat="1" applyBorder="1" applyAlignment="1">
      <alignment vertical="center" wrapText="1"/>
    </xf>
    <xf numFmtId="0" fontId="0" fillId="8" borderId="15" xfId="0" applyFill="1" applyBorder="1" applyAlignment="1">
      <alignment horizontal="left" vertical="center" wrapText="1"/>
    </xf>
    <xf numFmtId="49" fontId="0" fillId="0" borderId="19" xfId="0" applyNumberFormat="1" applyBorder="1" applyAlignment="1">
      <alignment vertical="center" wrapText="1"/>
    </xf>
    <xf numFmtId="0" fontId="0" fillId="8" borderId="19" xfId="0" applyFill="1" applyBorder="1" applyAlignment="1">
      <alignment horizontal="left" vertical="center" wrapText="1"/>
    </xf>
    <xf numFmtId="0" fontId="6" fillId="8" borderId="22" xfId="0" applyFont="1" applyFill="1" applyBorder="1" applyAlignment="1">
      <alignment horizontal="left" vertical="center" wrapText="1"/>
    </xf>
    <xf numFmtId="0" fontId="0" fillId="13" borderId="5" xfId="0" applyFill="1" applyBorder="1" applyAlignment="1">
      <alignment vertical="center"/>
    </xf>
    <xf numFmtId="0" fontId="3" fillId="0" borderId="0" xfId="0" applyFont="1"/>
    <xf numFmtId="49" fontId="6" fillId="11" borderId="21" xfId="0" applyNumberFormat="1" applyFont="1" applyFill="1" applyBorder="1" applyAlignment="1">
      <alignment horizontal="center" vertical="center" wrapText="1"/>
    </xf>
    <xf numFmtId="49" fontId="6" fillId="8" borderId="21" xfId="0" applyNumberFormat="1" applyFont="1" applyFill="1" applyBorder="1" applyAlignment="1">
      <alignment horizontal="center" vertical="center" wrapText="1"/>
    </xf>
    <xf numFmtId="49" fontId="0" fillId="0" borderId="34" xfId="0" applyNumberFormat="1" applyBorder="1" applyAlignment="1">
      <alignment horizontal="left" vertical="center" wrapText="1"/>
    </xf>
    <xf numFmtId="49" fontId="6" fillId="11" borderId="28" xfId="0" applyNumberFormat="1" applyFont="1" applyFill="1" applyBorder="1" applyAlignment="1">
      <alignment horizontal="center" vertical="center" wrapText="1"/>
    </xf>
    <xf numFmtId="49" fontId="0" fillId="0" borderId="0" xfId="0" applyNumberFormat="1" applyAlignment="1">
      <alignment horizontal="center" vertical="center" wrapText="1"/>
    </xf>
    <xf numFmtId="49" fontId="0" fillId="11" borderId="8" xfId="0" applyNumberFormat="1" applyFill="1" applyBorder="1" applyAlignment="1">
      <alignment horizontal="center" vertical="center" wrapText="1"/>
    </xf>
    <xf numFmtId="49" fontId="0" fillId="8" borderId="8" xfId="0" applyNumberFormat="1" applyFill="1" applyBorder="1" applyAlignment="1">
      <alignment horizontal="center" vertical="center" wrapText="1"/>
    </xf>
    <xf numFmtId="0" fontId="0" fillId="15" borderId="8" xfId="0" applyFill="1" applyBorder="1" applyAlignment="1">
      <alignment horizontal="center" vertical="center" wrapText="1"/>
    </xf>
    <xf numFmtId="0" fontId="0" fillId="15" borderId="31" xfId="0" applyFill="1" applyBorder="1" applyAlignment="1">
      <alignment horizontal="center" vertical="center" wrapText="1"/>
    </xf>
    <xf numFmtId="0" fontId="0" fillId="15" borderId="32" xfId="0" applyFill="1" applyBorder="1" applyAlignment="1">
      <alignment horizontal="left" vertical="center" wrapText="1"/>
    </xf>
    <xf numFmtId="9" fontId="6" fillId="0" borderId="0" xfId="1" applyFont="1" applyBorder="1" applyAlignment="1" applyProtection="1">
      <alignment vertical="center" wrapText="1"/>
    </xf>
    <xf numFmtId="0" fontId="0" fillId="0" borderId="0" xfId="0" applyAlignment="1">
      <alignment horizontal="left"/>
    </xf>
    <xf numFmtId="0" fontId="0" fillId="0" borderId="0" xfId="0" applyAlignment="1">
      <alignment horizontal="left" vertical="center"/>
    </xf>
    <xf numFmtId="2" fontId="0" fillId="0" borderId="0" xfId="0" applyNumberFormat="1" applyAlignment="1">
      <alignment horizontal="left" vertical="center"/>
    </xf>
    <xf numFmtId="0" fontId="8" fillId="0" borderId="0" xfId="0" applyFont="1" applyAlignment="1">
      <alignment horizontal="left" vertical="center"/>
    </xf>
    <xf numFmtId="0" fontId="10" fillId="16" borderId="36" xfId="0" applyFont="1" applyFill="1" applyBorder="1" applyAlignment="1">
      <alignment horizontal="left" vertical="center" wrapText="1"/>
    </xf>
    <xf numFmtId="0" fontId="10" fillId="16" borderId="3" xfId="0" applyFont="1" applyFill="1" applyBorder="1" applyAlignment="1">
      <alignment horizontal="left" vertical="center"/>
    </xf>
    <xf numFmtId="0" fontId="10" fillId="16" borderId="37"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9" xfId="0" applyFont="1" applyFill="1" applyBorder="1" applyAlignment="1">
      <alignment horizontal="left" vertical="center"/>
    </xf>
    <xf numFmtId="0" fontId="1" fillId="11" borderId="27" xfId="0" applyFont="1" applyFill="1" applyBorder="1" applyAlignment="1">
      <alignment horizontal="left" vertical="center"/>
    </xf>
    <xf numFmtId="0" fontId="1" fillId="16" borderId="26" xfId="0" applyFont="1" applyFill="1" applyBorder="1" applyAlignment="1">
      <alignment horizontal="left" vertical="center"/>
    </xf>
    <xf numFmtId="0" fontId="1" fillId="16" borderId="19" xfId="0" applyFont="1" applyFill="1" applyBorder="1" applyAlignment="1">
      <alignment horizontal="left" vertical="center"/>
    </xf>
    <xf numFmtId="0" fontId="1" fillId="16" borderId="27" xfId="0" applyFont="1" applyFill="1" applyBorder="1" applyAlignment="1">
      <alignment horizontal="left" vertical="center"/>
    </xf>
    <xf numFmtId="0" fontId="10" fillId="11" borderId="26" xfId="0" applyFont="1" applyFill="1" applyBorder="1" applyAlignment="1">
      <alignment horizontal="left" vertical="center"/>
    </xf>
    <xf numFmtId="0" fontId="0" fillId="11" borderId="19" xfId="0" applyFill="1" applyBorder="1" applyAlignment="1">
      <alignment horizontal="left" vertical="center"/>
    </xf>
    <xf numFmtId="0" fontId="10" fillId="11" borderId="5" xfId="0" applyFont="1" applyFill="1" applyBorder="1" applyAlignment="1">
      <alignment horizontal="left" vertical="center"/>
    </xf>
    <xf numFmtId="0" fontId="10" fillId="11" borderId="6" xfId="0" applyFont="1" applyFill="1" applyBorder="1" applyAlignment="1">
      <alignment horizontal="left" vertical="center"/>
    </xf>
    <xf numFmtId="10" fontId="10" fillId="11" borderId="6" xfId="0" applyNumberFormat="1" applyFont="1" applyFill="1" applyBorder="1" applyAlignment="1">
      <alignment horizontal="left" vertical="center"/>
    </xf>
    <xf numFmtId="0" fontId="1" fillId="11" borderId="14" xfId="0" applyFont="1" applyFill="1" applyBorder="1" applyAlignment="1">
      <alignment horizontal="left" vertical="center"/>
    </xf>
    <xf numFmtId="0" fontId="10" fillId="11" borderId="38" xfId="0" applyFont="1" applyFill="1" applyBorder="1" applyAlignment="1">
      <alignment horizontal="left" vertical="center"/>
    </xf>
    <xf numFmtId="0" fontId="10" fillId="11" borderId="39" xfId="0" applyFont="1" applyFill="1" applyBorder="1" applyAlignment="1">
      <alignment horizontal="left" vertical="center"/>
    </xf>
    <xf numFmtId="10" fontId="10" fillId="11" borderId="39" xfId="0" applyNumberFormat="1" applyFont="1" applyFill="1" applyBorder="1" applyAlignment="1">
      <alignment horizontal="left" vertical="center"/>
    </xf>
    <xf numFmtId="0" fontId="10" fillId="11" borderId="40" xfId="0" applyFont="1" applyFill="1" applyBorder="1" applyAlignment="1">
      <alignment horizontal="left" vertical="center"/>
    </xf>
    <xf numFmtId="0" fontId="1" fillId="16" borderId="24" xfId="0" applyFont="1" applyFill="1" applyBorder="1" applyAlignment="1">
      <alignment horizontal="left" vertical="center"/>
    </xf>
    <xf numFmtId="0" fontId="1" fillId="16" borderId="15" xfId="0" applyFont="1" applyFill="1" applyBorder="1" applyAlignment="1">
      <alignment horizontal="left"/>
    </xf>
    <xf numFmtId="1" fontId="1" fillId="16" borderId="15" xfId="0" applyNumberFormat="1" applyFont="1" applyFill="1" applyBorder="1" applyAlignment="1">
      <alignment horizontal="left"/>
    </xf>
    <xf numFmtId="0" fontId="1" fillId="16" borderId="25" xfId="0" applyFont="1" applyFill="1" applyBorder="1" applyAlignment="1">
      <alignment horizontal="left"/>
    </xf>
    <xf numFmtId="0" fontId="1" fillId="11" borderId="28" xfId="0" applyFont="1" applyFill="1" applyBorder="1" applyAlignment="1">
      <alignment horizontal="left" vertical="center"/>
    </xf>
    <xf numFmtId="0" fontId="1" fillId="11" borderId="29" xfId="0" applyFont="1" applyFill="1" applyBorder="1" applyAlignment="1">
      <alignment horizontal="left"/>
    </xf>
    <xf numFmtId="1" fontId="1" fillId="11" borderId="29" xfId="0" applyNumberFormat="1" applyFont="1" applyFill="1" applyBorder="1" applyAlignment="1">
      <alignment horizontal="left"/>
    </xf>
    <xf numFmtId="0" fontId="1" fillId="11" borderId="30" xfId="0" applyFont="1" applyFill="1" applyBorder="1" applyAlignment="1">
      <alignment horizontal="left"/>
    </xf>
    <xf numFmtId="0" fontId="10" fillId="16" borderId="5" xfId="0" applyFont="1" applyFill="1" applyBorder="1" applyAlignment="1">
      <alignment horizontal="left" vertical="center"/>
    </xf>
    <xf numFmtId="0" fontId="1" fillId="16" borderId="6" xfId="0" applyFont="1" applyFill="1" applyBorder="1" applyAlignment="1">
      <alignment horizontal="left"/>
    </xf>
    <xf numFmtId="1" fontId="1" fillId="16" borderId="6" xfId="0" applyNumberFormat="1" applyFont="1" applyFill="1" applyBorder="1" applyAlignment="1">
      <alignment horizontal="left"/>
    </xf>
    <xf numFmtId="10" fontId="1" fillId="16" borderId="6" xfId="0" applyNumberFormat="1" applyFont="1" applyFill="1" applyBorder="1" applyAlignment="1">
      <alignment horizontal="left"/>
    </xf>
    <xf numFmtId="0" fontId="1" fillId="16" borderId="14" xfId="0" applyFont="1" applyFill="1" applyBorder="1" applyAlignment="1">
      <alignment horizontal="left"/>
    </xf>
    <xf numFmtId="0" fontId="10" fillId="0" borderId="4" xfId="0" applyFont="1" applyBorder="1" applyAlignment="1">
      <alignment horizontal="left" vertical="center"/>
    </xf>
    <xf numFmtId="0" fontId="1" fillId="0" borderId="0" xfId="0" applyFont="1" applyAlignment="1">
      <alignment horizontal="left"/>
    </xf>
    <xf numFmtId="1" fontId="1" fillId="0" borderId="0" xfId="0" applyNumberFormat="1" applyFont="1" applyAlignment="1">
      <alignment horizontal="left"/>
    </xf>
    <xf numFmtId="10" fontId="1" fillId="0" borderId="0" xfId="0" applyNumberFormat="1" applyFont="1" applyAlignment="1">
      <alignment horizontal="left"/>
    </xf>
    <xf numFmtId="0" fontId="1" fillId="0" borderId="41" xfId="0" applyFont="1" applyBorder="1" applyAlignment="1">
      <alignment horizontal="left"/>
    </xf>
    <xf numFmtId="0" fontId="10" fillId="17" borderId="36" xfId="0" applyFont="1" applyFill="1" applyBorder="1" applyAlignment="1">
      <alignment horizontal="left" vertical="center" wrapText="1"/>
    </xf>
    <xf numFmtId="0" fontId="10" fillId="17" borderId="3" xfId="0" applyFont="1" applyFill="1" applyBorder="1" applyAlignment="1">
      <alignment horizontal="left" vertical="center" wrapText="1"/>
    </xf>
    <xf numFmtId="0" fontId="10" fillId="17" borderId="34" xfId="0" applyFont="1" applyFill="1" applyBorder="1" applyAlignment="1">
      <alignment horizontal="left" vertical="center" wrapText="1"/>
    </xf>
    <xf numFmtId="0" fontId="10" fillId="17" borderId="35" xfId="0" applyFont="1" applyFill="1" applyBorder="1" applyAlignment="1">
      <alignment horizontal="left" vertical="center"/>
    </xf>
    <xf numFmtId="0" fontId="1" fillId="8" borderId="26" xfId="0" applyFont="1" applyFill="1" applyBorder="1" applyAlignment="1">
      <alignment horizontal="left" vertical="center" wrapText="1"/>
    </xf>
    <xf numFmtId="0" fontId="1" fillId="8" borderId="19" xfId="0" applyFont="1" applyFill="1" applyBorder="1" applyAlignment="1">
      <alignment horizontal="left" vertical="center" wrapText="1"/>
    </xf>
    <xf numFmtId="0" fontId="1" fillId="8" borderId="25" xfId="0" applyFont="1" applyFill="1" applyBorder="1" applyAlignment="1">
      <alignment horizontal="left" vertical="center"/>
    </xf>
    <xf numFmtId="0" fontId="10" fillId="17" borderId="26" xfId="0" applyFont="1" applyFill="1" applyBorder="1" applyAlignment="1">
      <alignment horizontal="left" vertical="center" wrapText="1"/>
    </xf>
    <xf numFmtId="0" fontId="1" fillId="17" borderId="19" xfId="0" applyFont="1" applyFill="1" applyBorder="1" applyAlignment="1">
      <alignment horizontal="left" vertical="center" wrapText="1"/>
    </xf>
    <xf numFmtId="0" fontId="1" fillId="17" borderId="27" xfId="0" applyFont="1" applyFill="1" applyBorder="1" applyAlignment="1">
      <alignment horizontal="left" vertical="center" wrapText="1"/>
    </xf>
    <xf numFmtId="0" fontId="1" fillId="8" borderId="27" xfId="0" applyFont="1" applyFill="1" applyBorder="1" applyAlignment="1">
      <alignment horizontal="left" vertical="center"/>
    </xf>
    <xf numFmtId="0" fontId="1" fillId="17" borderId="26" xfId="0" applyFont="1" applyFill="1" applyBorder="1" applyAlignment="1">
      <alignment horizontal="left" vertical="center" wrapText="1"/>
    </xf>
    <xf numFmtId="0" fontId="10" fillId="8" borderId="5" xfId="0" applyFont="1" applyFill="1" applyBorder="1" applyAlignment="1">
      <alignment horizontal="left" vertical="center" wrapText="1"/>
    </xf>
    <xf numFmtId="0" fontId="10" fillId="8" borderId="6" xfId="0" applyFont="1" applyFill="1" applyBorder="1" applyAlignment="1">
      <alignment horizontal="left" vertical="center" wrapText="1"/>
    </xf>
    <xf numFmtId="10" fontId="10" fillId="8" borderId="6" xfId="1" applyNumberFormat="1" applyFont="1" applyFill="1" applyBorder="1" applyAlignment="1" applyProtection="1">
      <alignment horizontal="left" vertical="center" wrapText="1"/>
    </xf>
    <xf numFmtId="0" fontId="10" fillId="8" borderId="14" xfId="0" applyFont="1" applyFill="1" applyBorder="1" applyAlignment="1">
      <alignment horizontal="left" vertical="center"/>
    </xf>
    <xf numFmtId="0" fontId="10" fillId="8" borderId="38" xfId="0" applyFont="1" applyFill="1" applyBorder="1" applyAlignment="1">
      <alignment horizontal="left" vertical="center" wrapText="1"/>
    </xf>
    <xf numFmtId="0" fontId="10" fillId="8" borderId="39" xfId="0" applyFont="1" applyFill="1" applyBorder="1" applyAlignment="1">
      <alignment horizontal="left" vertical="center" wrapText="1"/>
    </xf>
    <xf numFmtId="10" fontId="10" fillId="8" borderId="39" xfId="1" applyNumberFormat="1" applyFont="1" applyFill="1" applyBorder="1" applyAlignment="1" applyProtection="1">
      <alignment horizontal="left" vertical="center" wrapText="1"/>
    </xf>
    <xf numFmtId="0" fontId="10" fillId="8" borderId="40" xfId="0" applyFont="1" applyFill="1" applyBorder="1" applyAlignment="1">
      <alignment horizontal="left" vertical="center"/>
    </xf>
    <xf numFmtId="0" fontId="1" fillId="17" borderId="24" xfId="0" applyFont="1" applyFill="1" applyBorder="1" applyAlignment="1">
      <alignment horizontal="left" vertical="center" wrapText="1"/>
    </xf>
    <xf numFmtId="0" fontId="1" fillId="17" borderId="15" xfId="0" applyFont="1" applyFill="1" applyBorder="1" applyAlignment="1">
      <alignment horizontal="left"/>
    </xf>
    <xf numFmtId="1" fontId="1" fillId="17" borderId="15" xfId="0" applyNumberFormat="1" applyFont="1" applyFill="1" applyBorder="1" applyAlignment="1">
      <alignment horizontal="left" vertical="center" wrapText="1"/>
    </xf>
    <xf numFmtId="0" fontId="1" fillId="17" borderId="25" xfId="0" applyFont="1" applyFill="1" applyBorder="1" applyAlignment="1">
      <alignment horizontal="left"/>
    </xf>
    <xf numFmtId="0" fontId="1" fillId="8" borderId="19" xfId="0" applyFont="1" applyFill="1" applyBorder="1" applyAlignment="1">
      <alignment horizontal="left"/>
    </xf>
    <xf numFmtId="1" fontId="1" fillId="8" borderId="19" xfId="0" applyNumberFormat="1" applyFont="1" applyFill="1" applyBorder="1" applyAlignment="1">
      <alignment horizontal="left"/>
    </xf>
    <xf numFmtId="0" fontId="1" fillId="8" borderId="27" xfId="0" applyFont="1" applyFill="1" applyBorder="1" applyAlignment="1">
      <alignment horizontal="left"/>
    </xf>
    <xf numFmtId="0" fontId="1" fillId="17" borderId="21" xfId="0" applyFont="1" applyFill="1" applyBorder="1" applyAlignment="1">
      <alignment horizontal="left" vertical="center" wrapText="1"/>
    </xf>
    <xf numFmtId="0" fontId="1" fillId="17" borderId="22" xfId="0" applyFont="1" applyFill="1" applyBorder="1" applyAlignment="1">
      <alignment horizontal="left"/>
    </xf>
    <xf numFmtId="1" fontId="1" fillId="17" borderId="22" xfId="0" applyNumberFormat="1" applyFont="1" applyFill="1" applyBorder="1" applyAlignment="1">
      <alignment horizontal="left" vertical="center"/>
    </xf>
    <xf numFmtId="0" fontId="1" fillId="17" borderId="23" xfId="0" applyFont="1" applyFill="1" applyBorder="1" applyAlignment="1">
      <alignment horizontal="left"/>
    </xf>
    <xf numFmtId="0" fontId="10" fillId="8" borderId="16" xfId="0" applyFont="1" applyFill="1" applyBorder="1" applyAlignment="1">
      <alignment horizontal="left" vertical="center" wrapText="1"/>
    </xf>
    <xf numFmtId="0" fontId="1" fillId="8" borderId="17" xfId="0" applyFont="1" applyFill="1" applyBorder="1" applyAlignment="1">
      <alignment horizontal="left"/>
    </xf>
    <xf numFmtId="1" fontId="1" fillId="8" borderId="17" xfId="0" applyNumberFormat="1" applyFont="1" applyFill="1" applyBorder="1" applyAlignment="1">
      <alignment horizontal="left" vertical="center"/>
    </xf>
    <xf numFmtId="10" fontId="1" fillId="8" borderId="17" xfId="0" applyNumberFormat="1" applyFont="1" applyFill="1" applyBorder="1" applyAlignment="1">
      <alignment horizontal="left"/>
    </xf>
    <xf numFmtId="0" fontId="1" fillId="8" borderId="18" xfId="0" applyFont="1" applyFill="1" applyBorder="1" applyAlignment="1">
      <alignment horizontal="left"/>
    </xf>
    <xf numFmtId="0" fontId="1" fillId="0" borderId="16" xfId="0" applyFont="1" applyBorder="1" applyAlignment="1">
      <alignment horizontal="left" vertical="center" wrapText="1"/>
    </xf>
    <xf numFmtId="0" fontId="1" fillId="0" borderId="17" xfId="0" applyFont="1" applyBorder="1" applyAlignment="1">
      <alignment horizontal="left"/>
    </xf>
    <xf numFmtId="1" fontId="1" fillId="0" borderId="17" xfId="0" applyNumberFormat="1" applyFont="1" applyBorder="1" applyAlignment="1">
      <alignment horizontal="left" vertical="center"/>
    </xf>
    <xf numFmtId="0" fontId="1" fillId="0" borderId="18" xfId="0" applyFont="1" applyBorder="1" applyAlignment="1">
      <alignment horizontal="left"/>
    </xf>
    <xf numFmtId="0" fontId="10" fillId="18" borderId="36" xfId="0" applyFont="1" applyFill="1" applyBorder="1" applyAlignment="1">
      <alignment horizontal="left" vertical="center"/>
    </xf>
    <xf numFmtId="0" fontId="10" fillId="18" borderId="3" xfId="0" applyFont="1" applyFill="1" applyBorder="1" applyAlignment="1">
      <alignment horizontal="left" vertical="center"/>
    </xf>
    <xf numFmtId="0" fontId="10" fillId="18" borderId="37" xfId="0" applyFont="1" applyFill="1" applyBorder="1" applyAlignment="1">
      <alignment horizontal="left" vertical="center"/>
    </xf>
    <xf numFmtId="0" fontId="10" fillId="12" borderId="26" xfId="0" applyFont="1" applyFill="1" applyBorder="1" applyAlignment="1">
      <alignment horizontal="left" vertical="center"/>
    </xf>
    <xf numFmtId="0" fontId="1" fillId="12" borderId="19" xfId="0" applyFont="1" applyFill="1" applyBorder="1" applyAlignment="1">
      <alignment horizontal="left" vertical="center"/>
    </xf>
    <xf numFmtId="0" fontId="1" fillId="12" borderId="27" xfId="0" applyFont="1" applyFill="1" applyBorder="1" applyAlignment="1">
      <alignment horizontal="left" vertical="center" wrapText="1"/>
    </xf>
    <xf numFmtId="0" fontId="1" fillId="18" borderId="26" xfId="0" applyFont="1" applyFill="1" applyBorder="1" applyAlignment="1">
      <alignment horizontal="left" vertical="center"/>
    </xf>
    <xf numFmtId="0" fontId="1" fillId="18" borderId="19" xfId="0" applyFont="1" applyFill="1" applyBorder="1" applyAlignment="1">
      <alignment horizontal="left" vertical="center"/>
    </xf>
    <xf numFmtId="0" fontId="1" fillId="18" borderId="27" xfId="0" applyFont="1" applyFill="1" applyBorder="1" applyAlignment="1">
      <alignment horizontal="left" vertical="center"/>
    </xf>
    <xf numFmtId="0" fontId="1" fillId="12" borderId="26" xfId="0" applyFont="1" applyFill="1" applyBorder="1" applyAlignment="1">
      <alignment horizontal="left" vertical="center"/>
    </xf>
    <xf numFmtId="0" fontId="1" fillId="12" borderId="27" xfId="0" applyFont="1" applyFill="1" applyBorder="1" applyAlignment="1">
      <alignment horizontal="left" vertical="center"/>
    </xf>
    <xf numFmtId="0" fontId="10" fillId="12" borderId="5" xfId="0" applyFont="1" applyFill="1" applyBorder="1" applyAlignment="1">
      <alignment horizontal="left" vertical="center"/>
    </xf>
    <xf numFmtId="0" fontId="10" fillId="12" borderId="6" xfId="0" applyFont="1" applyFill="1" applyBorder="1" applyAlignment="1">
      <alignment horizontal="left" vertical="center"/>
    </xf>
    <xf numFmtId="10" fontId="10" fillId="12" borderId="6" xfId="1" applyNumberFormat="1" applyFont="1" applyFill="1" applyBorder="1" applyAlignment="1" applyProtection="1">
      <alignment horizontal="left" vertical="center"/>
    </xf>
    <xf numFmtId="0" fontId="1" fillId="12" borderId="14" xfId="0" applyFont="1" applyFill="1" applyBorder="1" applyAlignment="1">
      <alignment horizontal="left" vertical="center"/>
    </xf>
    <xf numFmtId="0" fontId="10" fillId="12" borderId="38" xfId="0" applyFont="1" applyFill="1" applyBorder="1" applyAlignment="1">
      <alignment horizontal="left" vertical="center"/>
    </xf>
    <xf numFmtId="0" fontId="10" fillId="12" borderId="39" xfId="0" applyFont="1" applyFill="1" applyBorder="1" applyAlignment="1">
      <alignment horizontal="left" vertical="center"/>
    </xf>
    <xf numFmtId="10" fontId="10" fillId="12" borderId="39" xfId="1" applyNumberFormat="1" applyFont="1" applyFill="1" applyBorder="1" applyAlignment="1" applyProtection="1">
      <alignment horizontal="left" vertical="center"/>
    </xf>
    <xf numFmtId="0" fontId="10" fillId="12" borderId="40" xfId="0" applyFont="1" applyFill="1" applyBorder="1" applyAlignment="1">
      <alignment horizontal="left" vertical="center"/>
    </xf>
    <xf numFmtId="0" fontId="1" fillId="18" borderId="24" xfId="0" applyFont="1" applyFill="1" applyBorder="1" applyAlignment="1">
      <alignment horizontal="left" vertical="center"/>
    </xf>
    <xf numFmtId="0" fontId="1" fillId="18" borderId="15" xfId="0" applyFont="1" applyFill="1" applyBorder="1" applyAlignment="1">
      <alignment horizontal="left"/>
    </xf>
    <xf numFmtId="1" fontId="1" fillId="18" borderId="15" xfId="0" applyNumberFormat="1" applyFont="1" applyFill="1" applyBorder="1" applyAlignment="1">
      <alignment horizontal="left"/>
    </xf>
    <xf numFmtId="0" fontId="1" fillId="18" borderId="25" xfId="0" applyFont="1" applyFill="1" applyBorder="1" applyAlignment="1">
      <alignment horizontal="left"/>
    </xf>
    <xf numFmtId="0" fontId="1" fillId="12" borderId="19" xfId="0" applyFont="1" applyFill="1" applyBorder="1" applyAlignment="1">
      <alignment horizontal="left"/>
    </xf>
    <xf numFmtId="1" fontId="1" fillId="12" borderId="19" xfId="0" applyNumberFormat="1" applyFont="1" applyFill="1" applyBorder="1" applyAlignment="1">
      <alignment horizontal="left"/>
    </xf>
    <xf numFmtId="0" fontId="1" fillId="12" borderId="27" xfId="0" applyFont="1" applyFill="1" applyBorder="1" applyAlignment="1">
      <alignment horizontal="left"/>
    </xf>
    <xf numFmtId="0" fontId="1" fillId="18" borderId="28" xfId="0" applyFont="1" applyFill="1" applyBorder="1" applyAlignment="1">
      <alignment horizontal="left" vertical="center"/>
    </xf>
    <xf numFmtId="0" fontId="1" fillId="18" borderId="29" xfId="0" applyFont="1" applyFill="1" applyBorder="1" applyAlignment="1">
      <alignment horizontal="left"/>
    </xf>
    <xf numFmtId="1" fontId="1" fillId="18" borderId="29" xfId="0" applyNumberFormat="1" applyFont="1" applyFill="1" applyBorder="1" applyAlignment="1">
      <alignment horizontal="left" vertical="center"/>
    </xf>
    <xf numFmtId="0" fontId="1" fillId="18" borderId="30" xfId="0" applyFont="1" applyFill="1" applyBorder="1" applyAlignment="1">
      <alignment horizontal="left"/>
    </xf>
    <xf numFmtId="0" fontId="1" fillId="12" borderId="6" xfId="0" applyFont="1" applyFill="1" applyBorder="1" applyAlignment="1">
      <alignment horizontal="left"/>
    </xf>
    <xf numFmtId="1" fontId="1" fillId="12" borderId="6" xfId="0" applyNumberFormat="1" applyFont="1" applyFill="1" applyBorder="1" applyAlignment="1">
      <alignment horizontal="left" vertical="center"/>
    </xf>
    <xf numFmtId="10" fontId="1" fillId="12" borderId="6" xfId="0" applyNumberFormat="1" applyFont="1" applyFill="1" applyBorder="1" applyAlignment="1">
      <alignment horizontal="left"/>
    </xf>
    <xf numFmtId="0" fontId="1" fillId="12" borderId="14" xfId="0" applyFont="1" applyFill="1" applyBorder="1" applyAlignment="1">
      <alignment horizontal="left"/>
    </xf>
    <xf numFmtId="0" fontId="1" fillId="11" borderId="27" xfId="0" applyFont="1" applyFill="1" applyBorder="1" applyAlignment="1">
      <alignment horizontal="left" vertical="center" wrapText="1"/>
    </xf>
    <xf numFmtId="0" fontId="1" fillId="16" borderId="27" xfId="0" applyFont="1" applyFill="1" applyBorder="1" applyAlignment="1">
      <alignment horizontal="left" vertical="center" wrapText="1"/>
    </xf>
    <xf numFmtId="0" fontId="12" fillId="0" borderId="0" xfId="0" applyFont="1" applyAlignment="1">
      <alignment horizontal="left"/>
    </xf>
    <xf numFmtId="49" fontId="0" fillId="0" borderId="0" xfId="0" applyNumberFormat="1" applyAlignment="1">
      <alignment horizontal="left" wrapText="1"/>
    </xf>
    <xf numFmtId="0" fontId="12" fillId="0" borderId="0" xfId="0" applyFont="1"/>
    <xf numFmtId="0" fontId="3" fillId="0" borderId="0" xfId="0" applyFont="1" applyAlignment="1">
      <alignment horizontal="center" vertical="center"/>
    </xf>
    <xf numFmtId="0" fontId="3" fillId="0" borderId="0" xfId="0" applyFont="1" applyAlignment="1">
      <alignment horizontal="left" vertical="center" wrapText="1"/>
    </xf>
    <xf numFmtId="49" fontId="3" fillId="0" borderId="5" xfId="0" applyNumberFormat="1" applyFont="1" applyBorder="1" applyAlignment="1">
      <alignment horizontal="left" vertical="center" wrapText="1"/>
    </xf>
    <xf numFmtId="49" fontId="3" fillId="0" borderId="6" xfId="0" applyNumberFormat="1" applyFont="1" applyBorder="1" applyAlignment="1">
      <alignment horizontal="left" vertical="center" wrapText="1"/>
    </xf>
    <xf numFmtId="0" fontId="3" fillId="11" borderId="7"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0" fillId="0" borderId="0" xfId="0" applyAlignment="1">
      <alignment horizontal="center" vertical="center"/>
    </xf>
    <xf numFmtId="0" fontId="5" fillId="13" borderId="6" xfId="0" applyFont="1" applyFill="1" applyBorder="1" applyAlignment="1">
      <alignment horizontal="left" vertical="center" wrapText="1"/>
    </xf>
    <xf numFmtId="0" fontId="0" fillId="13" borderId="5" xfId="0" applyFill="1" applyBorder="1" applyAlignment="1">
      <alignment horizontal="center" vertical="center"/>
    </xf>
    <xf numFmtId="49" fontId="6" fillId="0" borderId="20" xfId="0" applyNumberFormat="1" applyFont="1" applyBorder="1" applyAlignment="1">
      <alignment horizontal="right" vertical="center" wrapText="1"/>
    </xf>
    <xf numFmtId="0" fontId="5" fillId="13" borderId="6" xfId="0" applyFont="1" applyFill="1" applyBorder="1" applyAlignment="1">
      <alignment horizontal="left" vertical="center"/>
    </xf>
    <xf numFmtId="49" fontId="6" fillId="0" borderId="13" xfId="0" applyNumberFormat="1" applyFont="1" applyBorder="1" applyAlignment="1">
      <alignment horizontal="right" vertical="center" wrapText="1"/>
    </xf>
    <xf numFmtId="49" fontId="6" fillId="0" borderId="33" xfId="0" applyNumberFormat="1" applyFont="1" applyBorder="1" applyAlignment="1">
      <alignment horizontal="right" vertical="center" wrapText="1"/>
    </xf>
    <xf numFmtId="0" fontId="5" fillId="14" borderId="35" xfId="0" applyFont="1" applyFill="1" applyBorder="1" applyAlignment="1">
      <alignment horizontal="left" vertical="center" wrapText="1"/>
    </xf>
    <xf numFmtId="0" fontId="0" fillId="0" borderId="8" xfId="0" applyBorder="1" applyAlignment="1">
      <alignment horizontal="right" vertical="center" wrapText="1"/>
    </xf>
    <xf numFmtId="0" fontId="6" fillId="0" borderId="21" xfId="0" applyFont="1" applyBorder="1" applyAlignment="1">
      <alignment horizontal="right" vertical="center" wrapText="1"/>
    </xf>
    <xf numFmtId="9" fontId="6" fillId="11" borderId="33" xfId="1" applyFont="1" applyFill="1" applyBorder="1" applyAlignment="1" applyProtection="1">
      <alignment horizontal="center" vertical="center" wrapText="1"/>
    </xf>
    <xf numFmtId="9" fontId="6" fillId="8" borderId="33" xfId="1" applyFont="1" applyFill="1" applyBorder="1" applyAlignment="1" applyProtection="1">
      <alignment horizontal="center" vertical="center" wrapText="1"/>
    </xf>
    <xf numFmtId="9" fontId="6" fillId="15" borderId="33" xfId="1" applyFont="1" applyFill="1" applyBorder="1" applyAlignment="1" applyProtection="1">
      <alignment horizontal="center" vertical="center" wrapText="1"/>
    </xf>
    <xf numFmtId="0" fontId="8" fillId="0" borderId="0" xfId="0" applyFont="1" applyAlignment="1">
      <alignment horizontal="center" vertical="center"/>
    </xf>
    <xf numFmtId="0" fontId="9" fillId="16" borderId="35" xfId="0" applyFont="1" applyFill="1" applyBorder="1" applyAlignment="1">
      <alignment horizontal="center"/>
    </xf>
    <xf numFmtId="2" fontId="9" fillId="17" borderId="42" xfId="0" applyNumberFormat="1" applyFont="1" applyFill="1" applyBorder="1" applyAlignment="1">
      <alignment horizontal="center" vertical="center" wrapText="1"/>
    </xf>
    <xf numFmtId="0" fontId="9" fillId="18" borderId="42" xfId="0" applyFont="1" applyFill="1" applyBorder="1" applyAlignment="1">
      <alignment horizontal="center"/>
    </xf>
  </cellXfs>
  <cellStyles count="6">
    <cellStyle name="Excel Built-in 40% - Accent1" xfId="3" xr:uid="{00000000-0005-0000-0000-000007000000}"/>
    <cellStyle name="Excel Built-in 40% - Accent2" xfId="4" xr:uid="{00000000-0005-0000-0000-000008000000}"/>
    <cellStyle name="Excel Built-in 40% - Accent3" xfId="5" xr:uid="{00000000-0005-0000-0000-000009000000}"/>
    <cellStyle name="Excel Built-in Output" xfId="2" xr:uid="{00000000-0005-0000-0000-000006000000}"/>
    <cellStyle name="Normal" xfId="0" builtinId="0"/>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8080"/>
      <rgbColor rgb="FFC9C9C9"/>
      <rgbColor rgb="FF808080"/>
      <rgbColor rgb="FFDAE3F3"/>
      <rgbColor rgb="FF993366"/>
      <rgbColor rgb="FFFFF2CC"/>
      <rgbColor rgb="FFDEEBF7"/>
      <rgbColor rgb="FF660066"/>
      <rgbColor rgb="FFF2F2F2"/>
      <rgbColor rgb="FF0066CC"/>
      <rgbColor rgb="FFBDD7EE"/>
      <rgbColor rgb="FF000080"/>
      <rgbColor rgb="FFFF00FF"/>
      <rgbColor rgb="FFEDEDED"/>
      <rgbColor rgb="FF00FFFF"/>
      <rgbColor rgb="FF800080"/>
      <rgbColor rgb="FF800000"/>
      <rgbColor rgb="FF008080"/>
      <rgbColor rgb="FF0000FF"/>
      <rgbColor rgb="FF00CCFF"/>
      <rgbColor rgb="FFE2EFDA"/>
      <rgbColor rgb="FFE2F0D9"/>
      <rgbColor rgb="FFFFE699"/>
      <rgbColor rgb="FFB4C7E7"/>
      <rgbColor rgb="FFDBDBDB"/>
      <rgbColor rgb="FFB4C6E7"/>
      <rgbColor rgb="FFF8CBAD"/>
      <rgbColor rgb="FF3366FF"/>
      <rgbColor rgb="FF33CCCC"/>
      <rgbColor rgb="FF99CC00"/>
      <rgbColor rgb="FFFFC000"/>
      <rgbColor rgb="FFFF9900"/>
      <rgbColor rgb="FFFF6600"/>
      <rgbColor rgb="FF666699"/>
      <rgbColor rgb="FFC5E0B4"/>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7"/>
  <sheetViews>
    <sheetView zoomScale="120" zoomScaleNormal="120" workbookViewId="0">
      <selection activeCell="A7" sqref="A7"/>
    </sheetView>
  </sheetViews>
  <sheetFormatPr defaultColWidth="9.140625" defaultRowHeight="15"/>
  <cols>
    <col min="2" max="3" width="15" customWidth="1"/>
    <col min="4" max="4" width="16" customWidth="1"/>
    <col min="5" max="5" width="14.140625" customWidth="1"/>
    <col min="6" max="6" width="16.140625" customWidth="1"/>
    <col min="7" max="7" width="9.28515625" customWidth="1"/>
    <col min="8" max="8" width="15.7109375" customWidth="1"/>
  </cols>
  <sheetData>
    <row r="3" spans="1:8" ht="30.75">
      <c r="A3" s="2"/>
      <c r="B3" s="4" t="s">
        <v>0</v>
      </c>
      <c r="C3" s="5" t="s">
        <v>1</v>
      </c>
      <c r="D3" s="5" t="s">
        <v>2</v>
      </c>
      <c r="E3" s="4" t="s">
        <v>3</v>
      </c>
      <c r="F3" s="5" t="s">
        <v>4</v>
      </c>
      <c r="G3" s="6" t="s">
        <v>5</v>
      </c>
      <c r="H3" s="7" t="s">
        <v>6</v>
      </c>
    </row>
    <row r="4" spans="1:8">
      <c r="A4" s="8" t="s">
        <v>7</v>
      </c>
      <c r="B4" s="9">
        <f>(Fonctionnalités!D14)</f>
        <v>0.95</v>
      </c>
      <c r="C4" s="9">
        <f>Fonctionnalités!D18</f>
        <v>0.79</v>
      </c>
      <c r="D4" s="9">
        <f>'Assurance Qualité'!C59</f>
        <v>0.78849999999999998</v>
      </c>
      <c r="E4" s="9">
        <f>B4*0.5+C4*0.1+D4*0.4 - 0.1*F4</f>
        <v>0.86940000000000006</v>
      </c>
      <c r="F4" s="10"/>
      <c r="G4" s="11">
        <v>20</v>
      </c>
      <c r="H4" s="12">
        <f>E4*G4</f>
        <v>17.388000000000002</v>
      </c>
    </row>
    <row r="5" spans="1:8">
      <c r="A5" s="13" t="s">
        <v>8</v>
      </c>
      <c r="B5" s="14">
        <f>(Fonctionnalités!D28)</f>
        <v>0</v>
      </c>
      <c r="C5" s="14">
        <f>Fonctionnalités!D33</f>
        <v>0</v>
      </c>
      <c r="D5" s="14">
        <f>'Assurance Qualité'!F59</f>
        <v>0</v>
      </c>
      <c r="E5" s="14">
        <f>B5*0.5+C5*0.1+D5*0.4 - 0.1*F5</f>
        <v>0</v>
      </c>
      <c r="F5" s="15"/>
      <c r="G5" s="16">
        <v>25</v>
      </c>
      <c r="H5" s="17">
        <f>E5*G5</f>
        <v>0</v>
      </c>
    </row>
    <row r="6" spans="1:8">
      <c r="A6" s="18" t="s">
        <v>9</v>
      </c>
      <c r="B6" s="19">
        <f>(Fonctionnalités!D43)</f>
        <v>0</v>
      </c>
      <c r="C6" s="19">
        <f>Fonctionnalités!D48</f>
        <v>0</v>
      </c>
      <c r="D6" s="19">
        <f>'Assurance Qualité'!I59</f>
        <v>0</v>
      </c>
      <c r="E6" s="19">
        <f>B6*0.5+C6*0.1+D6*0.4 - 0.1*F6</f>
        <v>0</v>
      </c>
      <c r="F6" s="20"/>
      <c r="G6" s="21">
        <v>25</v>
      </c>
      <c r="H6" s="22">
        <f>E6*G6</f>
        <v>0</v>
      </c>
    </row>
    <row r="7" spans="1:8">
      <c r="A7" s="23" t="s">
        <v>10</v>
      </c>
      <c r="B7" s="23"/>
      <c r="C7" s="23"/>
      <c r="D7" s="23"/>
      <c r="E7" s="24">
        <v>0</v>
      </c>
      <c r="F7" s="25"/>
      <c r="G7" s="23">
        <v>5</v>
      </c>
      <c r="H7" s="26">
        <f>E7*G7</f>
        <v>0</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59"/>
  <sheetViews>
    <sheetView topLeftCell="A31" zoomScale="120" zoomScaleNormal="120" workbookViewId="0">
      <selection activeCell="E40" sqref="E40"/>
    </sheetView>
  </sheetViews>
  <sheetFormatPr defaultColWidth="9.140625" defaultRowHeight="15"/>
  <cols>
    <col min="1" max="1" width="22.7109375" style="27" customWidth="1"/>
    <col min="2" max="2" width="77.5703125" style="28" customWidth="1"/>
    <col min="3" max="4" width="10.7109375" style="27" customWidth="1"/>
    <col min="5" max="5" width="56" style="28" customWidth="1"/>
    <col min="6" max="7" width="10.7109375" customWidth="1"/>
    <col min="8" max="8" width="20.7109375" style="28" customWidth="1"/>
    <col min="9" max="10" width="10.7109375" customWidth="1"/>
    <col min="11" max="11" width="42.42578125" style="28" customWidth="1"/>
    <col min="12" max="13" width="12.7109375" customWidth="1"/>
    <col min="14" max="16" width="15.7109375" customWidth="1"/>
  </cols>
  <sheetData>
    <row r="2" spans="1:17" ht="18" customHeight="1">
      <c r="A2" s="246" t="s">
        <v>11</v>
      </c>
      <c r="B2" s="246"/>
      <c r="C2" s="246"/>
      <c r="D2" s="246"/>
      <c r="E2" s="246"/>
      <c r="F2" s="246"/>
      <c r="G2" s="246"/>
      <c r="H2" s="246"/>
      <c r="I2" s="246"/>
      <c r="J2" s="246"/>
      <c r="K2" s="246"/>
      <c r="L2" s="29"/>
      <c r="M2" s="29"/>
    </row>
    <row r="4" spans="1:17" ht="18" customHeight="1">
      <c r="A4" s="247" t="s">
        <v>12</v>
      </c>
      <c r="B4" s="247"/>
      <c r="C4" s="247"/>
      <c r="D4" s="247"/>
      <c r="E4" s="247"/>
      <c r="F4" s="247"/>
      <c r="G4" s="247"/>
      <c r="H4" s="247"/>
      <c r="I4" s="247"/>
      <c r="J4" s="247"/>
      <c r="K4" s="247"/>
      <c r="L4" s="30"/>
      <c r="M4" s="30"/>
    </row>
    <row r="5" spans="1:17" ht="18.75">
      <c r="A5" s="31"/>
      <c r="B5" s="3"/>
      <c r="C5" s="32"/>
      <c r="D5" s="32"/>
      <c r="E5" s="3"/>
      <c r="F5" s="32"/>
      <c r="G5" s="32"/>
      <c r="H5" s="3"/>
      <c r="I5" s="32"/>
      <c r="J5" s="32"/>
      <c r="K5" s="3"/>
      <c r="L5" s="32"/>
      <c r="M5" s="32"/>
    </row>
    <row r="6" spans="1:17" ht="18" customHeight="1">
      <c r="A6" s="248" t="s">
        <v>13</v>
      </c>
      <c r="B6" s="249" t="s">
        <v>14</v>
      </c>
      <c r="C6" s="250" t="s">
        <v>7</v>
      </c>
      <c r="D6" s="250"/>
      <c r="E6" s="250"/>
      <c r="F6" s="251" t="s">
        <v>8</v>
      </c>
      <c r="G6" s="251"/>
      <c r="H6" s="251"/>
      <c r="I6" s="252" t="s">
        <v>9</v>
      </c>
      <c r="J6" s="252"/>
      <c r="K6" s="252"/>
      <c r="L6" s="33"/>
      <c r="M6" s="33"/>
      <c r="N6" s="253"/>
      <c r="O6" s="253"/>
      <c r="P6" s="253"/>
    </row>
    <row r="7" spans="1:17" ht="18.75">
      <c r="A7" s="248"/>
      <c r="B7" s="249"/>
      <c r="C7" s="34" t="s">
        <v>15</v>
      </c>
      <c r="D7" s="35" t="s">
        <v>5</v>
      </c>
      <c r="E7" s="36" t="s">
        <v>16</v>
      </c>
      <c r="F7" s="37" t="s">
        <v>15</v>
      </c>
      <c r="G7" s="38" t="s">
        <v>5</v>
      </c>
      <c r="H7" s="39" t="s">
        <v>16</v>
      </c>
      <c r="I7" s="40" t="s">
        <v>15</v>
      </c>
      <c r="J7" s="41" t="s">
        <v>5</v>
      </c>
      <c r="K7" s="42" t="s">
        <v>16</v>
      </c>
      <c r="L7" s="33"/>
      <c r="M7" s="33"/>
      <c r="N7" s="2"/>
      <c r="O7" s="2"/>
      <c r="P7" s="2"/>
      <c r="Q7" s="2"/>
    </row>
    <row r="8" spans="1:17" ht="18.75" customHeight="1">
      <c r="A8" s="254" t="s">
        <v>17</v>
      </c>
      <c r="B8" s="254"/>
      <c r="C8" s="255" t="s">
        <v>18</v>
      </c>
      <c r="D8" s="255"/>
      <c r="E8" s="43" t="s">
        <v>19</v>
      </c>
      <c r="F8" s="255" t="s">
        <v>18</v>
      </c>
      <c r="G8" s="255"/>
      <c r="H8" s="43"/>
      <c r="I8" s="255" t="s">
        <v>18</v>
      </c>
      <c r="J8" s="255"/>
      <c r="K8" s="43"/>
      <c r="L8" s="33"/>
      <c r="M8" s="33"/>
      <c r="N8" s="2"/>
      <c r="O8" s="2"/>
      <c r="P8" s="2"/>
      <c r="Q8" s="2"/>
    </row>
    <row r="9" spans="1:17" ht="121.5">
      <c r="A9" s="44" t="s">
        <v>20</v>
      </c>
      <c r="B9" s="44" t="s">
        <v>21</v>
      </c>
      <c r="C9" s="45">
        <v>0.55000000000000004</v>
      </c>
      <c r="D9" s="46">
        <v>6</v>
      </c>
      <c r="E9" s="47" t="s">
        <v>22</v>
      </c>
      <c r="F9" s="48">
        <v>0</v>
      </c>
      <c r="G9" s="49">
        <v>6</v>
      </c>
      <c r="H9" s="50"/>
      <c r="I9" s="51">
        <v>0</v>
      </c>
      <c r="J9" s="52">
        <v>6</v>
      </c>
      <c r="K9" s="53"/>
      <c r="L9" s="33"/>
      <c r="M9" s="33"/>
      <c r="N9" s="2"/>
      <c r="O9" s="2"/>
      <c r="P9" s="2"/>
      <c r="Q9" s="2"/>
    </row>
    <row r="10" spans="1:17" ht="60.75">
      <c r="A10" s="54" t="s">
        <v>23</v>
      </c>
      <c r="B10" s="54" t="s">
        <v>24</v>
      </c>
      <c r="C10" s="45">
        <v>0.5</v>
      </c>
      <c r="D10" s="46">
        <v>2</v>
      </c>
      <c r="E10" s="47" t="s">
        <v>25</v>
      </c>
      <c r="F10" s="48">
        <v>0</v>
      </c>
      <c r="G10" s="49">
        <v>2</v>
      </c>
      <c r="H10" s="50"/>
      <c r="I10" s="51">
        <v>0</v>
      </c>
      <c r="J10" s="52">
        <v>2</v>
      </c>
      <c r="K10" s="53"/>
      <c r="L10" s="33"/>
      <c r="M10" s="33"/>
      <c r="N10" s="2"/>
      <c r="O10" s="2"/>
      <c r="P10" s="2"/>
      <c r="Q10" s="2"/>
    </row>
    <row r="11" spans="1:17" s="65" customFormat="1" ht="15.75" customHeight="1">
      <c r="A11" s="256" t="s">
        <v>26</v>
      </c>
      <c r="B11" s="256"/>
      <c r="C11" s="55">
        <f>SUMPRODUCT(C6:C10,D6:D10)</f>
        <v>4.3000000000000007</v>
      </c>
      <c r="D11" s="56">
        <f>SUM(D6:D10)</f>
        <v>8</v>
      </c>
      <c r="E11" s="57"/>
      <c r="F11" s="58">
        <f>SUMPRODUCT(F6:F10,G6:G10)</f>
        <v>0</v>
      </c>
      <c r="G11" s="59">
        <f>SUM(G6:G10)</f>
        <v>8</v>
      </c>
      <c r="H11" s="60"/>
      <c r="I11" s="61">
        <f>SUMPRODUCT(I6:I10,J6:J10)</f>
        <v>0</v>
      </c>
      <c r="J11" s="62">
        <f>SUM(J6:J10)</f>
        <v>8</v>
      </c>
      <c r="K11" s="63"/>
      <c r="L11" s="64"/>
      <c r="M11" s="64"/>
    </row>
    <row r="12" spans="1:17" s="66" customFormat="1" ht="18" customHeight="1">
      <c r="A12" s="254" t="s">
        <v>27</v>
      </c>
      <c r="B12" s="254"/>
      <c r="C12" s="255" t="s">
        <v>18</v>
      </c>
      <c r="D12" s="255"/>
      <c r="E12" s="43" t="s">
        <v>28</v>
      </c>
      <c r="F12" s="255" t="s">
        <v>18</v>
      </c>
      <c r="G12" s="255"/>
      <c r="H12" s="43"/>
      <c r="I12" s="255" t="s">
        <v>18</v>
      </c>
      <c r="J12" s="255"/>
      <c r="K12" s="43"/>
      <c r="L12" s="30"/>
      <c r="M12" s="30"/>
    </row>
    <row r="13" spans="1:17">
      <c r="A13" s="44" t="s">
        <v>29</v>
      </c>
      <c r="B13" s="44" t="s">
        <v>30</v>
      </c>
      <c r="C13" s="67">
        <v>1</v>
      </c>
      <c r="D13" s="68">
        <v>3</v>
      </c>
      <c r="E13" s="69"/>
      <c r="F13" s="70">
        <v>0</v>
      </c>
      <c r="G13" s="71">
        <f>D13</f>
        <v>3</v>
      </c>
      <c r="H13" s="72"/>
      <c r="I13" s="73">
        <v>0</v>
      </c>
      <c r="J13" s="74">
        <f>G13</f>
        <v>3</v>
      </c>
      <c r="K13" s="75"/>
      <c r="L13" s="76"/>
      <c r="M13" s="76"/>
    </row>
    <row r="14" spans="1:17" ht="45.75">
      <c r="A14" s="54" t="s">
        <v>31</v>
      </c>
      <c r="B14" s="54" t="s">
        <v>32</v>
      </c>
      <c r="C14" s="77">
        <v>0.8</v>
      </c>
      <c r="D14" s="78">
        <v>2</v>
      </c>
      <c r="E14" s="79" t="s">
        <v>33</v>
      </c>
      <c r="F14" s="80">
        <v>0</v>
      </c>
      <c r="G14" s="71">
        <f>D14</f>
        <v>2</v>
      </c>
      <c r="H14" s="81"/>
      <c r="I14" s="82">
        <v>0</v>
      </c>
      <c r="J14" s="74">
        <f>G14</f>
        <v>2</v>
      </c>
      <c r="K14" s="83"/>
      <c r="L14" s="76"/>
      <c r="M14" s="76"/>
    </row>
    <row r="15" spans="1:17" ht="167.25">
      <c r="A15" s="54" t="s">
        <v>34</v>
      </c>
      <c r="B15" s="54" t="s">
        <v>35</v>
      </c>
      <c r="C15" s="77">
        <v>0</v>
      </c>
      <c r="D15" s="78">
        <v>2</v>
      </c>
      <c r="E15" s="79" t="s">
        <v>36</v>
      </c>
      <c r="F15" s="80">
        <v>0</v>
      </c>
      <c r="G15" s="71">
        <f>D15</f>
        <v>2</v>
      </c>
      <c r="H15" s="81"/>
      <c r="I15" s="82">
        <v>0</v>
      </c>
      <c r="J15" s="74">
        <f>G15</f>
        <v>2</v>
      </c>
      <c r="K15" s="83"/>
      <c r="L15" s="76"/>
      <c r="M15" s="76"/>
    </row>
    <row r="16" spans="1:17" ht="30.75">
      <c r="A16" s="54" t="s">
        <v>37</v>
      </c>
      <c r="B16" s="54" t="s">
        <v>38</v>
      </c>
      <c r="C16" s="77">
        <v>1</v>
      </c>
      <c r="D16" s="78">
        <v>4</v>
      </c>
      <c r="E16" s="79"/>
      <c r="F16" s="80">
        <v>0</v>
      </c>
      <c r="G16" s="71">
        <f>D16</f>
        <v>4</v>
      </c>
      <c r="H16" s="81"/>
      <c r="I16" s="82">
        <v>0</v>
      </c>
      <c r="J16" s="74">
        <f>G16</f>
        <v>4</v>
      </c>
      <c r="K16" s="83"/>
      <c r="L16" s="76"/>
      <c r="M16" s="76"/>
    </row>
    <row r="17" spans="1:13" ht="30.75">
      <c r="A17" s="54" t="s">
        <v>39</v>
      </c>
      <c r="B17" s="54" t="s">
        <v>40</v>
      </c>
      <c r="C17" s="77">
        <v>1</v>
      </c>
      <c r="D17" s="78">
        <v>4</v>
      </c>
      <c r="E17" s="79"/>
      <c r="F17" s="80">
        <v>0</v>
      </c>
      <c r="G17" s="71">
        <f>D17</f>
        <v>4</v>
      </c>
      <c r="H17" s="81"/>
      <c r="I17" s="82">
        <v>0</v>
      </c>
      <c r="J17" s="74">
        <f>G17</f>
        <v>4</v>
      </c>
      <c r="K17" s="83"/>
      <c r="L17" s="76"/>
      <c r="M17" s="76"/>
    </row>
    <row r="18" spans="1:13" s="65" customFormat="1" ht="15.75" customHeight="1">
      <c r="A18" s="256" t="s">
        <v>26</v>
      </c>
      <c r="B18" s="256"/>
      <c r="C18" s="55">
        <f>SUMPRODUCT(C13:C17,D13:D17)</f>
        <v>12.6</v>
      </c>
      <c r="D18" s="56">
        <f>SUM(D13:D17)</f>
        <v>15</v>
      </c>
      <c r="E18" s="57"/>
      <c r="F18" s="58">
        <f>SUMPRODUCT(F13:F17,G13:G17)</f>
        <v>0</v>
      </c>
      <c r="G18" s="59">
        <f>SUM(G13:G17)</f>
        <v>15</v>
      </c>
      <c r="H18" s="60"/>
      <c r="I18" s="61">
        <f>SUMPRODUCT(I13:I17,J13:J17)</f>
        <v>0</v>
      </c>
      <c r="J18" s="62">
        <f>SUM(J13:J17)</f>
        <v>15</v>
      </c>
      <c r="K18" s="63"/>
      <c r="L18" s="64"/>
      <c r="M18" s="64"/>
    </row>
    <row r="19" spans="1:13" s="66" customFormat="1" ht="18" customHeight="1">
      <c r="A19" s="257" t="s">
        <v>41</v>
      </c>
      <c r="B19" s="257"/>
      <c r="C19" s="255" t="s">
        <v>18</v>
      </c>
      <c r="D19" s="255"/>
      <c r="E19" s="43" t="s">
        <v>19</v>
      </c>
      <c r="F19" s="255" t="s">
        <v>18</v>
      </c>
      <c r="G19" s="255"/>
      <c r="H19" s="43"/>
      <c r="I19" s="255" t="s">
        <v>18</v>
      </c>
      <c r="J19" s="255"/>
      <c r="K19" s="43"/>
      <c r="L19" s="30"/>
      <c r="M19" s="30"/>
    </row>
    <row r="20" spans="1:13" ht="106.5">
      <c r="A20" s="54" t="s">
        <v>42</v>
      </c>
      <c r="B20" s="54" t="s">
        <v>43</v>
      </c>
      <c r="C20" s="77">
        <v>0.45</v>
      </c>
      <c r="D20" s="78">
        <v>3</v>
      </c>
      <c r="E20" s="79" t="s">
        <v>44</v>
      </c>
      <c r="F20" s="80">
        <v>0</v>
      </c>
      <c r="G20" s="84">
        <v>3</v>
      </c>
      <c r="H20" s="81"/>
      <c r="I20" s="82">
        <v>0</v>
      </c>
      <c r="J20" s="85">
        <v>3</v>
      </c>
      <c r="K20" s="83"/>
      <c r="L20" s="76"/>
      <c r="M20" s="76"/>
    </row>
    <row r="21" spans="1:13" ht="45.75">
      <c r="A21" s="54" t="s">
        <v>45</v>
      </c>
      <c r="B21" s="54" t="s">
        <v>46</v>
      </c>
      <c r="C21" s="77">
        <v>0.75</v>
      </c>
      <c r="D21" s="78">
        <v>3</v>
      </c>
      <c r="E21" s="79" t="s">
        <v>47</v>
      </c>
      <c r="F21" s="80">
        <v>0</v>
      </c>
      <c r="G21" s="84">
        <v>3</v>
      </c>
      <c r="H21" s="81"/>
      <c r="I21" s="82">
        <v>0</v>
      </c>
      <c r="J21" s="85">
        <v>3</v>
      </c>
      <c r="K21" s="83"/>
      <c r="L21" s="76"/>
      <c r="M21" s="76"/>
    </row>
    <row r="22" spans="1:13" s="65" customFormat="1" ht="15.75" customHeight="1">
      <c r="A22" s="258" t="s">
        <v>26</v>
      </c>
      <c r="B22" s="258"/>
      <c r="C22" s="86">
        <f>SUMPRODUCT(C20:C21,D20:D21)</f>
        <v>3.6</v>
      </c>
      <c r="D22" s="87">
        <f>SUM(D20:D21)</f>
        <v>6</v>
      </c>
      <c r="E22" s="88"/>
      <c r="F22" s="89">
        <f>SUMPRODUCT(F20:F21,G20:G21)</f>
        <v>0</v>
      </c>
      <c r="G22" s="90">
        <f>SUM(G20:G21)</f>
        <v>6</v>
      </c>
      <c r="H22" s="91"/>
      <c r="I22" s="92">
        <f>SUMPRODUCT(I20:I21,J20:J21)</f>
        <v>0</v>
      </c>
      <c r="J22" s="93">
        <f>SUM(J20:J21)</f>
        <v>6</v>
      </c>
      <c r="K22" s="94"/>
      <c r="L22" s="64"/>
      <c r="M22" s="64"/>
    </row>
    <row r="23" spans="1:13" ht="18.75" customHeight="1">
      <c r="A23" s="95" t="s">
        <v>48</v>
      </c>
      <c r="B23" s="95"/>
      <c r="C23" s="255" t="s">
        <v>18</v>
      </c>
      <c r="D23" s="255"/>
      <c r="E23" s="43" t="s">
        <v>28</v>
      </c>
      <c r="F23" s="255" t="s">
        <v>18</v>
      </c>
      <c r="G23" s="255"/>
      <c r="H23" s="43"/>
      <c r="I23" s="255" t="s">
        <v>18</v>
      </c>
      <c r="J23" s="255"/>
      <c r="K23" s="43"/>
      <c r="L23" s="30"/>
      <c r="M23" s="30"/>
    </row>
    <row r="24" spans="1:13" ht="30.75">
      <c r="A24" s="96" t="s">
        <v>49</v>
      </c>
      <c r="B24" s="96" t="s">
        <v>50</v>
      </c>
      <c r="C24" s="97">
        <v>1</v>
      </c>
      <c r="D24" s="98">
        <v>1</v>
      </c>
      <c r="E24" s="99"/>
      <c r="F24" s="100">
        <v>0</v>
      </c>
      <c r="G24" s="101">
        <v>1</v>
      </c>
      <c r="H24" s="102"/>
      <c r="I24" s="103">
        <v>0</v>
      </c>
      <c r="J24" s="104">
        <v>1</v>
      </c>
      <c r="K24" s="105"/>
      <c r="L24" s="76"/>
      <c r="M24" s="76"/>
    </row>
    <row r="25" spans="1:13" ht="30.75">
      <c r="A25" s="54" t="s">
        <v>51</v>
      </c>
      <c r="B25" s="54" t="s">
        <v>52</v>
      </c>
      <c r="C25" s="77">
        <v>0.75</v>
      </c>
      <c r="D25" s="78">
        <v>2</v>
      </c>
      <c r="E25" s="79" t="s">
        <v>53</v>
      </c>
      <c r="F25" s="80">
        <v>0</v>
      </c>
      <c r="G25" s="84">
        <v>2</v>
      </c>
      <c r="H25" s="81"/>
      <c r="I25" s="82">
        <v>0</v>
      </c>
      <c r="J25" s="85">
        <v>2</v>
      </c>
      <c r="K25" s="83"/>
      <c r="L25" s="76"/>
      <c r="M25" s="76"/>
    </row>
    <row r="26" spans="1:13">
      <c r="A26" s="54" t="s">
        <v>54</v>
      </c>
      <c r="B26" s="54" t="s">
        <v>55</v>
      </c>
      <c r="C26" s="77">
        <v>1</v>
      </c>
      <c r="D26" s="78">
        <v>1</v>
      </c>
      <c r="E26" s="79"/>
      <c r="F26" s="80">
        <v>0</v>
      </c>
      <c r="G26" s="84">
        <v>1</v>
      </c>
      <c r="H26" s="81"/>
      <c r="I26" s="82">
        <v>0</v>
      </c>
      <c r="J26" s="85">
        <v>1</v>
      </c>
      <c r="K26" s="83"/>
      <c r="L26" s="76"/>
      <c r="M26" s="76"/>
    </row>
    <row r="27" spans="1:13" s="65" customFormat="1" ht="15.75" customHeight="1">
      <c r="A27" s="259" t="s">
        <v>26</v>
      </c>
      <c r="B27" s="259"/>
      <c r="C27" s="55">
        <f>SUMPRODUCT(C24:C26,D24:D26)</f>
        <v>3.5</v>
      </c>
      <c r="D27" s="56">
        <f>SUM(D24:D26)</f>
        <v>4</v>
      </c>
      <c r="E27" s="57"/>
      <c r="F27" s="89">
        <f>SUMPRODUCT(F24:F26,G24:G26)</f>
        <v>0</v>
      </c>
      <c r="G27" s="90">
        <f>SUM(G24:G26)</f>
        <v>4</v>
      </c>
      <c r="H27" s="91"/>
      <c r="I27" s="92">
        <f>SUMPRODUCT(I24:I26,J24:J26)</f>
        <v>0</v>
      </c>
      <c r="J27" s="93">
        <f>SUM(J24:J26)</f>
        <v>4</v>
      </c>
      <c r="K27" s="94"/>
      <c r="L27" s="64"/>
      <c r="M27" s="64"/>
    </row>
    <row r="28" spans="1:13" ht="21" customHeight="1">
      <c r="A28" s="257" t="s">
        <v>56</v>
      </c>
      <c r="B28" s="257"/>
      <c r="C28" s="255" t="s">
        <v>18</v>
      </c>
      <c r="D28" s="255"/>
      <c r="E28" s="43" t="s">
        <v>19</v>
      </c>
      <c r="F28" s="255" t="s">
        <v>18</v>
      </c>
      <c r="G28" s="255"/>
      <c r="H28" s="106"/>
      <c r="I28" s="255" t="s">
        <v>18</v>
      </c>
      <c r="J28" s="255"/>
      <c r="K28" s="43"/>
      <c r="L28" s="107"/>
      <c r="M28" s="30"/>
    </row>
    <row r="29" spans="1:13" ht="60.75">
      <c r="A29" s="108" t="s">
        <v>57</v>
      </c>
      <c r="B29" s="108" t="s">
        <v>58</v>
      </c>
      <c r="C29" s="67">
        <v>0</v>
      </c>
      <c r="D29" s="68">
        <v>2</v>
      </c>
      <c r="E29" s="69" t="s">
        <v>59</v>
      </c>
      <c r="F29" s="70">
        <v>0</v>
      </c>
      <c r="G29" s="71">
        <f>D29</f>
        <v>2</v>
      </c>
      <c r="H29" s="109"/>
      <c r="I29" s="73">
        <v>0</v>
      </c>
      <c r="J29" s="74">
        <f>D29</f>
        <v>2</v>
      </c>
      <c r="K29" s="75"/>
      <c r="L29" s="76"/>
      <c r="M29" s="76"/>
    </row>
    <row r="30" spans="1:13">
      <c r="A30" s="110" t="s">
        <v>60</v>
      </c>
      <c r="B30" s="110" t="s">
        <v>61</v>
      </c>
      <c r="C30" s="77">
        <v>1</v>
      </c>
      <c r="D30" s="78">
        <v>2</v>
      </c>
      <c r="E30" s="79"/>
      <c r="F30" s="80">
        <v>0</v>
      </c>
      <c r="G30" s="71">
        <f>D30</f>
        <v>2</v>
      </c>
      <c r="H30" s="111"/>
      <c r="I30" s="82">
        <v>0</v>
      </c>
      <c r="J30" s="74">
        <f>D30</f>
        <v>2</v>
      </c>
      <c r="K30" s="83"/>
      <c r="L30" s="76"/>
      <c r="M30" s="76"/>
    </row>
    <row r="31" spans="1:13" ht="30.75">
      <c r="A31" s="110" t="s">
        <v>62</v>
      </c>
      <c r="B31" s="110" t="s">
        <v>63</v>
      </c>
      <c r="C31" s="77">
        <v>1</v>
      </c>
      <c r="D31" s="78">
        <v>2</v>
      </c>
      <c r="E31" s="79"/>
      <c r="F31" s="80">
        <v>0</v>
      </c>
      <c r="G31" s="71">
        <f>D31</f>
        <v>2</v>
      </c>
      <c r="H31" s="111"/>
      <c r="I31" s="82">
        <v>0</v>
      </c>
      <c r="J31" s="74">
        <f>D31</f>
        <v>2</v>
      </c>
      <c r="K31" s="83"/>
      <c r="L31" s="76"/>
      <c r="M31" s="76"/>
    </row>
    <row r="32" spans="1:13" s="65" customFormat="1" ht="15.75" customHeight="1">
      <c r="A32" s="256" t="s">
        <v>26</v>
      </c>
      <c r="B32" s="256"/>
      <c r="C32" s="55">
        <f>SUMPRODUCT(C29:C31,D29:D31)</f>
        <v>4</v>
      </c>
      <c r="D32" s="56">
        <f>SUM(D29:D31)</f>
        <v>6</v>
      </c>
      <c r="E32" s="57"/>
      <c r="F32" s="58">
        <f>SUMPRODUCT(F29:F31,G29:G31)</f>
        <v>0</v>
      </c>
      <c r="G32" s="59">
        <f>SUM(G29:G31)</f>
        <v>6</v>
      </c>
      <c r="H32" s="112"/>
      <c r="I32" s="92">
        <f>SUMPRODUCT(I29:I31,J29:J31)</f>
        <v>0</v>
      </c>
      <c r="J32" s="93">
        <f>SUM(J29:J31)</f>
        <v>6</v>
      </c>
      <c r="K32" s="94"/>
      <c r="L32" s="64"/>
      <c r="M32" s="64"/>
    </row>
    <row r="33" spans="1:13" ht="18.75" customHeight="1">
      <c r="A33" s="254" t="s">
        <v>64</v>
      </c>
      <c r="B33" s="254"/>
      <c r="C33" s="255" t="s">
        <v>18</v>
      </c>
      <c r="D33" s="255"/>
      <c r="E33" s="43" t="s">
        <v>28</v>
      </c>
      <c r="F33" s="255" t="s">
        <v>18</v>
      </c>
      <c r="G33" s="255"/>
      <c r="H33" s="43"/>
      <c r="I33" s="113" t="s">
        <v>18</v>
      </c>
      <c r="J33" s="106"/>
      <c r="K33" s="43"/>
      <c r="L33" s="114"/>
      <c r="M33" s="30"/>
    </row>
    <row r="34" spans="1:13" ht="30.75">
      <c r="A34" s="44" t="s">
        <v>65</v>
      </c>
      <c r="B34" s="44" t="s">
        <v>66</v>
      </c>
      <c r="C34" s="67">
        <v>1</v>
      </c>
      <c r="D34" s="68">
        <v>2</v>
      </c>
      <c r="E34" s="69"/>
      <c r="F34" s="70">
        <v>0</v>
      </c>
      <c r="G34" s="71">
        <v>2</v>
      </c>
      <c r="H34" s="72"/>
      <c r="I34" s="73">
        <v>0</v>
      </c>
      <c r="J34" s="74">
        <v>2</v>
      </c>
      <c r="K34" s="75"/>
      <c r="L34" s="76"/>
      <c r="M34" s="76"/>
    </row>
    <row r="35" spans="1:13">
      <c r="A35" s="54" t="s">
        <v>67</v>
      </c>
      <c r="B35" s="54" t="s">
        <v>68</v>
      </c>
      <c r="C35" s="77">
        <v>1</v>
      </c>
      <c r="D35" s="78">
        <v>2</v>
      </c>
      <c r="E35" s="79"/>
      <c r="F35" s="80">
        <v>0</v>
      </c>
      <c r="G35" s="84">
        <v>2</v>
      </c>
      <c r="H35" s="81"/>
      <c r="I35" s="82">
        <v>0</v>
      </c>
      <c r="J35" s="85">
        <v>2</v>
      </c>
      <c r="K35" s="83"/>
      <c r="L35" s="76"/>
      <c r="M35" s="76"/>
    </row>
    <row r="36" spans="1:13" ht="45.75">
      <c r="A36" s="54" t="s">
        <v>69</v>
      </c>
      <c r="B36" s="54" t="s">
        <v>70</v>
      </c>
      <c r="C36" s="77">
        <v>1</v>
      </c>
      <c r="D36" s="78">
        <v>3</v>
      </c>
      <c r="E36" s="79"/>
      <c r="F36" s="80">
        <v>0</v>
      </c>
      <c r="G36" s="84">
        <v>3</v>
      </c>
      <c r="H36" s="81"/>
      <c r="I36" s="82">
        <v>0</v>
      </c>
      <c r="J36" s="85">
        <v>3</v>
      </c>
      <c r="K36" s="83"/>
      <c r="L36" s="76"/>
      <c r="M36" s="76"/>
    </row>
    <row r="37" spans="1:13" ht="45.75">
      <c r="A37" s="54" t="s">
        <v>71</v>
      </c>
      <c r="B37" s="54" t="s">
        <v>72</v>
      </c>
      <c r="C37" s="77">
        <v>0.75</v>
      </c>
      <c r="D37" s="78">
        <v>3</v>
      </c>
      <c r="E37" s="79" t="s">
        <v>73</v>
      </c>
      <c r="F37" s="80">
        <v>0</v>
      </c>
      <c r="G37" s="84">
        <v>3</v>
      </c>
      <c r="H37" s="81"/>
      <c r="I37" s="82">
        <v>0</v>
      </c>
      <c r="J37" s="85">
        <v>3</v>
      </c>
      <c r="K37" s="83"/>
      <c r="L37" s="76"/>
      <c r="M37" s="76"/>
    </row>
    <row r="38" spans="1:13" s="65" customFormat="1" ht="15.75" customHeight="1">
      <c r="A38" s="256" t="s">
        <v>26</v>
      </c>
      <c r="B38" s="256"/>
      <c r="C38" s="115">
        <f>SUMPRODUCT(C34:C37,D34:D37)</f>
        <v>9.25</v>
      </c>
      <c r="D38" s="56">
        <f>SUM(D34:D37)</f>
        <v>10</v>
      </c>
      <c r="E38" s="57"/>
      <c r="F38" s="116">
        <f>SUMPRODUCT(F34:F37,G34:G37)</f>
        <v>0</v>
      </c>
      <c r="G38" s="59">
        <f>SUM(G34:G37)</f>
        <v>10</v>
      </c>
      <c r="H38" s="60"/>
      <c r="I38" s="92">
        <f>SUMPRODUCT(I34:I37,J34:J37)</f>
        <v>0</v>
      </c>
      <c r="J38" s="93">
        <f>SUM(J34:J37)</f>
        <v>10</v>
      </c>
      <c r="K38" s="94"/>
      <c r="L38" s="64"/>
      <c r="M38" s="64"/>
    </row>
    <row r="39" spans="1:13" ht="18.75" customHeight="1">
      <c r="A39" s="1" t="s">
        <v>74</v>
      </c>
      <c r="B39" s="1"/>
      <c r="C39" s="255" t="s">
        <v>18</v>
      </c>
      <c r="D39" s="255"/>
      <c r="E39" s="106" t="s">
        <v>75</v>
      </c>
      <c r="F39" s="255" t="s">
        <v>18</v>
      </c>
      <c r="G39" s="255"/>
      <c r="H39" s="43"/>
      <c r="I39" s="255" t="s">
        <v>18</v>
      </c>
      <c r="J39" s="255"/>
      <c r="K39" s="43"/>
      <c r="L39" s="30"/>
      <c r="M39" s="30"/>
    </row>
    <row r="40" spans="1:13" ht="45.75">
      <c r="A40" s="54" t="s">
        <v>76</v>
      </c>
      <c r="B40" s="54" t="s">
        <v>77</v>
      </c>
      <c r="C40" s="77">
        <v>1</v>
      </c>
      <c r="D40" s="78">
        <v>2</v>
      </c>
      <c r="E40" s="79"/>
      <c r="F40" s="80">
        <v>0</v>
      </c>
      <c r="G40" s="84">
        <f>D40</f>
        <v>2</v>
      </c>
      <c r="H40" s="81"/>
      <c r="I40" s="82">
        <v>0</v>
      </c>
      <c r="J40" s="85">
        <f>D40</f>
        <v>2</v>
      </c>
      <c r="K40" s="83"/>
      <c r="L40" s="76"/>
      <c r="M40" s="76"/>
    </row>
    <row r="41" spans="1:13" ht="60.75">
      <c r="A41" s="54" t="s">
        <v>78</v>
      </c>
      <c r="B41" s="54" t="s">
        <v>79</v>
      </c>
      <c r="C41" s="77">
        <v>0</v>
      </c>
      <c r="D41" s="78">
        <v>2</v>
      </c>
      <c r="E41" s="79" t="s">
        <v>80</v>
      </c>
      <c r="F41" s="80">
        <v>0</v>
      </c>
      <c r="G41" s="84">
        <f>D41</f>
        <v>2</v>
      </c>
      <c r="H41" s="81"/>
      <c r="I41" s="82">
        <v>0</v>
      </c>
      <c r="J41" s="85">
        <f>D41</f>
        <v>2</v>
      </c>
      <c r="K41" s="83"/>
      <c r="L41" s="76"/>
      <c r="M41" s="76"/>
    </row>
    <row r="42" spans="1:13" ht="137.25">
      <c r="A42" s="54" t="s">
        <v>81</v>
      </c>
      <c r="B42" s="54" t="s">
        <v>82</v>
      </c>
      <c r="C42" s="77">
        <v>0.4</v>
      </c>
      <c r="D42" s="78">
        <v>2</v>
      </c>
      <c r="E42" s="79" t="s">
        <v>83</v>
      </c>
      <c r="F42" s="80">
        <v>0</v>
      </c>
      <c r="G42" s="84">
        <f>D42</f>
        <v>2</v>
      </c>
      <c r="H42" s="81"/>
      <c r="I42" s="82">
        <v>0</v>
      </c>
      <c r="J42" s="85">
        <f>D42</f>
        <v>2</v>
      </c>
      <c r="K42" s="83"/>
      <c r="L42" s="76"/>
    </row>
    <row r="43" spans="1:13">
      <c r="A43" s="54" t="s">
        <v>84</v>
      </c>
      <c r="B43" s="54" t="s">
        <v>85</v>
      </c>
      <c r="C43" s="77">
        <v>1</v>
      </c>
      <c r="D43" s="78">
        <v>4</v>
      </c>
      <c r="E43" s="79"/>
      <c r="F43" s="80">
        <v>0</v>
      </c>
      <c r="G43" s="84">
        <f>D43</f>
        <v>4</v>
      </c>
      <c r="H43" s="81"/>
      <c r="I43" s="82">
        <v>0</v>
      </c>
      <c r="J43" s="85">
        <f>D43</f>
        <v>4</v>
      </c>
      <c r="K43" s="83"/>
      <c r="L43" s="76"/>
      <c r="M43" s="76"/>
    </row>
    <row r="44" spans="1:13" ht="121.5">
      <c r="A44" s="54" t="s">
        <v>86</v>
      </c>
      <c r="B44" s="54" t="s">
        <v>87</v>
      </c>
      <c r="C44" s="77">
        <v>0.4</v>
      </c>
      <c r="D44" s="78">
        <v>6</v>
      </c>
      <c r="E44" s="79" t="s">
        <v>88</v>
      </c>
      <c r="F44" s="80">
        <v>0</v>
      </c>
      <c r="G44" s="84">
        <f>D44</f>
        <v>6</v>
      </c>
      <c r="H44" s="81"/>
      <c r="I44" s="82">
        <v>0</v>
      </c>
      <c r="J44" s="85">
        <f>D44</f>
        <v>6</v>
      </c>
      <c r="K44" s="83"/>
      <c r="L44" s="76"/>
      <c r="M44" s="76"/>
    </row>
    <row r="45" spans="1:13" ht="45.75">
      <c r="A45" s="54" t="s">
        <v>89</v>
      </c>
      <c r="B45" s="54" t="s">
        <v>90</v>
      </c>
      <c r="C45" s="77">
        <v>1</v>
      </c>
      <c r="D45" s="78">
        <v>8</v>
      </c>
      <c r="E45" s="79"/>
      <c r="F45" s="80">
        <v>0</v>
      </c>
      <c r="G45" s="84">
        <f>D45</f>
        <v>8</v>
      </c>
      <c r="H45" s="81"/>
      <c r="I45" s="82">
        <v>0</v>
      </c>
      <c r="J45" s="85">
        <f>D45</f>
        <v>8</v>
      </c>
      <c r="K45" s="83"/>
      <c r="L45" s="76"/>
      <c r="M45" s="76"/>
    </row>
    <row r="46" spans="1:13" ht="30.75">
      <c r="A46" s="54" t="s">
        <v>91</v>
      </c>
      <c r="B46" s="54" t="s">
        <v>92</v>
      </c>
      <c r="C46" s="77">
        <v>1</v>
      </c>
      <c r="D46" s="78">
        <v>6</v>
      </c>
      <c r="E46" s="79"/>
      <c r="F46" s="80">
        <v>0</v>
      </c>
      <c r="G46" s="84">
        <f>D46</f>
        <v>6</v>
      </c>
      <c r="H46" s="81"/>
      <c r="I46" s="82">
        <v>0</v>
      </c>
      <c r="J46" s="85">
        <f>D46</f>
        <v>6</v>
      </c>
      <c r="K46" s="83"/>
      <c r="L46" s="76"/>
      <c r="M46" s="76"/>
    </row>
    <row r="47" spans="1:13" ht="76.5">
      <c r="A47" s="54" t="s">
        <v>93</v>
      </c>
      <c r="B47" s="54" t="s">
        <v>94</v>
      </c>
      <c r="C47" s="77">
        <v>0.8</v>
      </c>
      <c r="D47" s="78">
        <v>6</v>
      </c>
      <c r="E47" s="79" t="s">
        <v>95</v>
      </c>
      <c r="F47" s="80">
        <v>0</v>
      </c>
      <c r="G47" s="84">
        <f>D47</f>
        <v>6</v>
      </c>
      <c r="H47" s="81"/>
      <c r="I47" s="82">
        <v>0</v>
      </c>
      <c r="J47" s="85">
        <f>D47</f>
        <v>6</v>
      </c>
      <c r="K47" s="83"/>
      <c r="L47" s="76"/>
      <c r="M47" s="76"/>
    </row>
    <row r="48" spans="1:13">
      <c r="A48" s="117" t="s">
        <v>96</v>
      </c>
      <c r="B48" s="54" t="s">
        <v>97</v>
      </c>
      <c r="C48" s="77">
        <v>1</v>
      </c>
      <c r="D48" s="78">
        <v>4</v>
      </c>
      <c r="E48" s="79"/>
      <c r="F48" s="80">
        <v>0</v>
      </c>
      <c r="G48" s="84">
        <f>D48</f>
        <v>4</v>
      </c>
      <c r="H48" s="81"/>
      <c r="I48" s="82">
        <v>0</v>
      </c>
      <c r="J48" s="85">
        <f>D48</f>
        <v>4</v>
      </c>
      <c r="K48" s="83"/>
      <c r="L48" s="76"/>
      <c r="M48" s="76"/>
    </row>
    <row r="49" spans="1:13" s="65" customFormat="1" ht="15.75" customHeight="1">
      <c r="A49" s="256" t="s">
        <v>26</v>
      </c>
      <c r="B49" s="256"/>
      <c r="C49" s="118">
        <f>SUMPRODUCT(C40:C48,D40:D48)</f>
        <v>32</v>
      </c>
      <c r="D49" s="87">
        <f>SUM(D40:D48)</f>
        <v>40</v>
      </c>
      <c r="E49" s="88"/>
      <c r="F49" s="116">
        <f>SUMPRODUCT(F40:F48,G40:G48)</f>
        <v>0</v>
      </c>
      <c r="G49" s="59">
        <f>SUM(G40:G48)</f>
        <v>40</v>
      </c>
      <c r="H49" s="60"/>
      <c r="I49" s="61">
        <f>SUMPRODUCT(I40:I48,J40:J48)</f>
        <v>0</v>
      </c>
      <c r="J49" s="62">
        <f>SUM(J40:J48)</f>
        <v>40</v>
      </c>
      <c r="K49" s="63"/>
      <c r="L49" s="64"/>
      <c r="M49" s="64"/>
    </row>
    <row r="50" spans="1:13" ht="18" customHeight="1">
      <c r="A50" s="254" t="s">
        <v>98</v>
      </c>
      <c r="B50" s="254"/>
      <c r="C50" s="255" t="s">
        <v>18</v>
      </c>
      <c r="D50" s="255"/>
      <c r="E50" s="43" t="s">
        <v>75</v>
      </c>
      <c r="F50" s="255" t="s">
        <v>18</v>
      </c>
      <c r="G50" s="255"/>
      <c r="H50" s="43"/>
      <c r="I50" s="255" t="s">
        <v>18</v>
      </c>
      <c r="J50" s="255"/>
      <c r="K50" s="43"/>
      <c r="L50" s="114"/>
      <c r="M50" s="30"/>
    </row>
    <row r="51" spans="1:13">
      <c r="A51" s="44" t="s">
        <v>99</v>
      </c>
      <c r="B51" s="44" t="s">
        <v>100</v>
      </c>
      <c r="C51" s="67">
        <v>1</v>
      </c>
      <c r="D51" s="68">
        <v>2</v>
      </c>
      <c r="E51" s="69"/>
      <c r="F51" s="100">
        <v>0</v>
      </c>
      <c r="G51" s="101">
        <v>2</v>
      </c>
      <c r="H51" s="102"/>
      <c r="I51" s="103">
        <v>0</v>
      </c>
      <c r="J51" s="104">
        <v>2</v>
      </c>
      <c r="K51" s="105"/>
      <c r="L51" s="76"/>
      <c r="M51" s="76"/>
    </row>
    <row r="52" spans="1:13" ht="60.75">
      <c r="A52" s="54" t="s">
        <v>101</v>
      </c>
      <c r="B52" s="54" t="s">
        <v>102</v>
      </c>
      <c r="C52" s="77">
        <v>0.8</v>
      </c>
      <c r="D52" s="78">
        <v>2</v>
      </c>
      <c r="E52" s="79" t="s">
        <v>103</v>
      </c>
      <c r="F52" s="80">
        <v>0</v>
      </c>
      <c r="G52" s="84">
        <v>2</v>
      </c>
      <c r="H52" s="81"/>
      <c r="I52" s="82">
        <v>0</v>
      </c>
      <c r="J52" s="85">
        <v>2</v>
      </c>
      <c r="K52" s="83"/>
      <c r="L52" s="76"/>
      <c r="M52" s="76"/>
    </row>
    <row r="53" spans="1:13" ht="60.75">
      <c r="A53" s="54" t="s">
        <v>104</v>
      </c>
      <c r="B53" s="54" t="s">
        <v>105</v>
      </c>
      <c r="C53" s="77">
        <v>0</v>
      </c>
      <c r="D53" s="78">
        <v>1</v>
      </c>
      <c r="E53" s="79" t="s">
        <v>106</v>
      </c>
      <c r="F53" s="80">
        <v>0</v>
      </c>
      <c r="G53" s="84">
        <v>1</v>
      </c>
      <c r="H53" s="81"/>
      <c r="I53" s="82">
        <v>0</v>
      </c>
      <c r="J53" s="85">
        <v>1</v>
      </c>
      <c r="K53" s="83"/>
      <c r="L53" s="76"/>
      <c r="M53" s="76"/>
    </row>
    <row r="54" spans="1:13" ht="45.75">
      <c r="A54" s="54" t="s">
        <v>107</v>
      </c>
      <c r="B54" s="54" t="s">
        <v>108</v>
      </c>
      <c r="C54" s="77">
        <v>1</v>
      </c>
      <c r="D54" s="78">
        <v>4</v>
      </c>
      <c r="E54" s="79"/>
      <c r="F54" s="80">
        <v>0</v>
      </c>
      <c r="G54" s="84">
        <v>4</v>
      </c>
      <c r="H54" s="81"/>
      <c r="I54" s="82">
        <v>0</v>
      </c>
      <c r="J54" s="85">
        <v>4</v>
      </c>
      <c r="K54" s="83"/>
      <c r="L54" s="76"/>
      <c r="M54" s="76"/>
    </row>
    <row r="55" spans="1:13" ht="30.75">
      <c r="A55" s="54" t="s">
        <v>109</v>
      </c>
      <c r="B55" s="54" t="s">
        <v>110</v>
      </c>
      <c r="C55" s="77">
        <v>1</v>
      </c>
      <c r="D55" s="78">
        <v>2</v>
      </c>
      <c r="E55" s="79"/>
      <c r="F55" s="80">
        <v>0</v>
      </c>
      <c r="G55" s="84">
        <v>2</v>
      </c>
      <c r="H55" s="81"/>
      <c r="I55" s="82">
        <v>0</v>
      </c>
      <c r="J55" s="85">
        <v>2</v>
      </c>
      <c r="K55" s="83"/>
      <c r="L55" s="119"/>
      <c r="M55" s="76"/>
    </row>
    <row r="56" spans="1:13" s="65" customFormat="1" ht="15.75" customHeight="1">
      <c r="A56" s="256" t="s">
        <v>26</v>
      </c>
      <c r="B56" s="256"/>
      <c r="C56" s="86">
        <f>SUMPRODUCT(C51:C55,D51:D55)</f>
        <v>9.6</v>
      </c>
      <c r="D56" s="87">
        <f>SUM(D51:D55)</f>
        <v>11</v>
      </c>
      <c r="E56" s="88"/>
      <c r="F56" s="89">
        <f>SUMPRODUCT(F51:F55,G51:G55)</f>
        <v>0</v>
      </c>
      <c r="G56" s="90">
        <f>SUM(G51:G55)</f>
        <v>11</v>
      </c>
      <c r="H56" s="91"/>
      <c r="I56" s="61">
        <f>SUMPRODUCT(I51:I55,J51:J55)</f>
        <v>0</v>
      </c>
      <c r="J56" s="62">
        <f>SUM(J51:J55)</f>
        <v>11</v>
      </c>
      <c r="K56" s="63"/>
      <c r="L56" s="64"/>
      <c r="M56" s="64"/>
    </row>
    <row r="57" spans="1:13" ht="18.75" customHeight="1">
      <c r="A57" s="260" t="s">
        <v>3</v>
      </c>
      <c r="B57" s="260"/>
      <c r="C57" s="260"/>
      <c r="D57" s="260"/>
      <c r="E57" s="260"/>
      <c r="F57" s="260"/>
      <c r="G57" s="260"/>
      <c r="H57" s="260"/>
      <c r="I57" s="260"/>
      <c r="J57" s="260"/>
      <c r="K57" s="260"/>
      <c r="L57" s="30"/>
      <c r="M57" s="30"/>
    </row>
    <row r="58" spans="1:13" ht="15" customHeight="1">
      <c r="A58" s="261" t="s">
        <v>111</v>
      </c>
      <c r="B58" s="261"/>
      <c r="C58" s="120">
        <f>C11+C18+C22+C27+C32+C38+C49+C56</f>
        <v>78.849999999999994</v>
      </c>
      <c r="D58" s="98">
        <f>D11+D18+D22+D27+D32+D38+D49+D56</f>
        <v>100</v>
      </c>
      <c r="E58" s="99"/>
      <c r="F58" s="121">
        <f>F11+F18+F22+F27+F32+F38+F49+F56</f>
        <v>0</v>
      </c>
      <c r="G58" s="101">
        <f>G11+G18+G22+G27+G32+G38+G49+G56</f>
        <v>100</v>
      </c>
      <c r="H58" s="102"/>
      <c r="I58" s="122">
        <f>I11+I18+I22+I27+I32+I38+I49+I56</f>
        <v>0</v>
      </c>
      <c r="J58" s="123">
        <f>J11+J18+J22+J27+J32+J38+J49+J56</f>
        <v>100</v>
      </c>
      <c r="K58" s="124"/>
      <c r="L58" s="119"/>
      <c r="M58" s="76"/>
    </row>
    <row r="59" spans="1:13" s="65" customFormat="1" ht="15.75" customHeight="1">
      <c r="A59" s="262" t="s">
        <v>112</v>
      </c>
      <c r="B59" s="262"/>
      <c r="C59" s="263">
        <f>C58/D58</f>
        <v>0.78849999999999998</v>
      </c>
      <c r="D59" s="263"/>
      <c r="E59" s="263"/>
      <c r="F59" s="264">
        <f>F58/G58</f>
        <v>0</v>
      </c>
      <c r="G59" s="264"/>
      <c r="H59" s="264"/>
      <c r="I59" s="265">
        <f>I58/J58</f>
        <v>0</v>
      </c>
      <c r="J59" s="265"/>
      <c r="K59" s="265"/>
      <c r="L59" s="125"/>
      <c r="M59" s="125"/>
    </row>
  </sheetData>
  <mergeCells count="51">
    <mergeCell ref="A56:B56"/>
    <mergeCell ref="A57:K57"/>
    <mergeCell ref="A58:B58"/>
    <mergeCell ref="A59:B59"/>
    <mergeCell ref="C59:E59"/>
    <mergeCell ref="F59:H59"/>
    <mergeCell ref="I59:K59"/>
    <mergeCell ref="I39:J39"/>
    <mergeCell ref="A49:B49"/>
    <mergeCell ref="A50:B50"/>
    <mergeCell ref="C50:D50"/>
    <mergeCell ref="F50:G50"/>
    <mergeCell ref="I50:J50"/>
    <mergeCell ref="A33:B33"/>
    <mergeCell ref="C33:D33"/>
    <mergeCell ref="F33:G33"/>
    <mergeCell ref="A38:B38"/>
    <mergeCell ref="C39:D39"/>
    <mergeCell ref="F39:G39"/>
    <mergeCell ref="A28:B28"/>
    <mergeCell ref="C28:D28"/>
    <mergeCell ref="F28:G28"/>
    <mergeCell ref="I28:J28"/>
    <mergeCell ref="A32:B32"/>
    <mergeCell ref="A22:B22"/>
    <mergeCell ref="C23:D23"/>
    <mergeCell ref="F23:G23"/>
    <mergeCell ref="I23:J23"/>
    <mergeCell ref="A27:B27"/>
    <mergeCell ref="A18:B18"/>
    <mergeCell ref="A19:B19"/>
    <mergeCell ref="C19:D19"/>
    <mergeCell ref="F19:G19"/>
    <mergeCell ref="I19:J19"/>
    <mergeCell ref="A11:B11"/>
    <mergeCell ref="A12:B12"/>
    <mergeCell ref="C12:D12"/>
    <mergeCell ref="F12:G12"/>
    <mergeCell ref="I12:J12"/>
    <mergeCell ref="N6:P6"/>
    <mergeCell ref="A8:B8"/>
    <mergeCell ref="C8:D8"/>
    <mergeCell ref="F8:G8"/>
    <mergeCell ref="I8:J8"/>
    <mergeCell ref="A2:K2"/>
    <mergeCell ref="A4:K4"/>
    <mergeCell ref="A6:A7"/>
    <mergeCell ref="B6:B7"/>
    <mergeCell ref="C6:E6"/>
    <mergeCell ref="F6:H6"/>
    <mergeCell ref="I6:K6"/>
  </mergeCells>
  <dataValidations count="2">
    <dataValidation type="decimal" allowBlank="1" showInputMessage="1" showErrorMessage="1" sqref="C9:C10 F9:F10 I9:I10 L11 C13:C17 F13:F17 I13:I17 L18 C20:C21 F20:F21 I20:I21 L22 C24:C26 F24:F26 I24:I26 L27 C29:C31 F29:F31 I29:I31 L32 C34:C37 F34:F37 I34:I37 L38 C40:C48 F40:F48 I40:I48 L49 C51:C55 F51:F55 I51:I55" xr:uid="{00000000-0002-0000-0100-000000000000}">
      <formula1>0</formula1>
      <formula2>1</formula2>
    </dataValidation>
    <dataValidation type="decimal" allowBlank="1" showInputMessage="1" showErrorMessage="1" error="Les évaluations sont faites en terme de pourcentage. Veuillez entrer une valeur entre 0 et 1" sqref="L13:L17 L20:L21 L24:L26 L29:L31 L34:L37 L40:L48 L51:L55" xr:uid="{00000000-0002-0000-0100-000001000000}">
      <formula1>0</formula1>
      <formula2>1</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I48"/>
  <sheetViews>
    <sheetView tabSelected="1" topLeftCell="A7" zoomScale="120" zoomScaleNormal="120" workbookViewId="0">
      <selection activeCell="K14" sqref="K14"/>
    </sheetView>
  </sheetViews>
  <sheetFormatPr defaultColWidth="9.140625" defaultRowHeight="15"/>
  <cols>
    <col min="1" max="1" width="50.5703125" style="126" customWidth="1"/>
    <col min="2" max="2" width="9.140625" style="126"/>
    <col min="3" max="3" width="9.85546875" style="126" customWidth="1"/>
    <col min="4" max="5" width="11" style="126" customWidth="1"/>
    <col min="6" max="6" width="54.85546875" style="126" customWidth="1"/>
    <col min="7" max="7" width="9.140625" style="126"/>
    <col min="8" max="8" width="25.28515625" style="126" customWidth="1"/>
    <col min="9" max="10" width="9.140625" style="126"/>
    <col min="11" max="11" width="16.28515625" style="126" customWidth="1"/>
    <col min="12" max="12" width="54.85546875" style="126" customWidth="1"/>
    <col min="13" max="1023" width="9.140625" style="126"/>
  </cols>
  <sheetData>
    <row r="2" spans="1:12" ht="18.75">
      <c r="A2" s="266" t="s">
        <v>113</v>
      </c>
      <c r="B2" s="266"/>
      <c r="C2" s="266"/>
      <c r="D2" s="266"/>
      <c r="E2" s="266"/>
      <c r="F2" s="266"/>
    </row>
    <row r="3" spans="1:12">
      <c r="A3" s="127"/>
      <c r="B3" s="127"/>
      <c r="C3" s="128"/>
      <c r="D3" s="127"/>
      <c r="E3" s="127"/>
      <c r="F3" s="128"/>
    </row>
    <row r="4" spans="1:12" ht="18.75">
      <c r="A4" s="129" t="s">
        <v>0</v>
      </c>
      <c r="B4" s="129"/>
      <c r="C4" s="129"/>
      <c r="D4" s="129"/>
      <c r="E4" s="129"/>
      <c r="F4" s="129"/>
    </row>
    <row r="6" spans="1:12" ht="23.25">
      <c r="A6" s="267" t="s">
        <v>7</v>
      </c>
      <c r="B6" s="267"/>
      <c r="C6" s="267"/>
      <c r="D6" s="267"/>
      <c r="E6" s="267"/>
      <c r="F6" s="267"/>
      <c r="H6" s="243" t="s">
        <v>114</v>
      </c>
    </row>
    <row r="7" spans="1:12">
      <c r="A7" s="130" t="s">
        <v>115</v>
      </c>
      <c r="B7" s="131" t="s">
        <v>15</v>
      </c>
      <c r="C7" s="131" t="s">
        <v>5</v>
      </c>
      <c r="D7" s="131" t="s">
        <v>116</v>
      </c>
      <c r="E7" s="131" t="s">
        <v>18</v>
      </c>
      <c r="F7" s="132" t="s">
        <v>16</v>
      </c>
    </row>
    <row r="8" spans="1:12">
      <c r="A8" s="133" t="s">
        <v>117</v>
      </c>
      <c r="B8" s="134">
        <v>1</v>
      </c>
      <c r="C8" s="134">
        <v>5</v>
      </c>
      <c r="D8" s="134">
        <f>B8*C8</f>
        <v>5</v>
      </c>
      <c r="E8" s="134" t="s">
        <v>19</v>
      </c>
      <c r="F8" s="135"/>
      <c r="I8" s="243" t="s">
        <v>15</v>
      </c>
      <c r="J8" s="243" t="s">
        <v>5</v>
      </c>
      <c r="K8" s="243" t="s">
        <v>116</v>
      </c>
      <c r="L8" s="243" t="s">
        <v>16</v>
      </c>
    </row>
    <row r="9" spans="1:12">
      <c r="A9" s="136" t="s">
        <v>118</v>
      </c>
      <c r="B9" s="137">
        <v>1</v>
      </c>
      <c r="C9" s="137">
        <v>15</v>
      </c>
      <c r="D9" s="137">
        <f>B9*C9</f>
        <v>15</v>
      </c>
      <c r="E9" s="137" t="s">
        <v>19</v>
      </c>
      <c r="F9" s="138"/>
      <c r="H9" s="126" t="s">
        <v>119</v>
      </c>
      <c r="I9" s="126">
        <v>1</v>
      </c>
      <c r="J9" s="126">
        <v>10</v>
      </c>
      <c r="K9" s="126">
        <f>I9*J9</f>
        <v>10</v>
      </c>
      <c r="L9" s="28"/>
    </row>
    <row r="10" spans="1:12" ht="152.25">
      <c r="A10" s="139" t="s">
        <v>120</v>
      </c>
      <c r="B10" s="134">
        <v>0.9</v>
      </c>
      <c r="C10" s="134">
        <v>20</v>
      </c>
      <c r="D10" s="134">
        <f>B10*C10</f>
        <v>18</v>
      </c>
      <c r="E10" s="134" t="s">
        <v>19</v>
      </c>
      <c r="F10" s="241" t="s">
        <v>121</v>
      </c>
      <c r="H10" s="126" t="s">
        <v>122</v>
      </c>
      <c r="I10" s="126">
        <v>0.7</v>
      </c>
      <c r="J10" s="126">
        <v>10</v>
      </c>
      <c r="K10" s="126">
        <f>I10*J10</f>
        <v>7</v>
      </c>
      <c r="L10" s="28" t="s">
        <v>123</v>
      </c>
    </row>
    <row r="11" spans="1:12" ht="121.5">
      <c r="A11" s="136" t="s">
        <v>124</v>
      </c>
      <c r="B11" s="137">
        <v>0.85</v>
      </c>
      <c r="C11" s="137">
        <v>20</v>
      </c>
      <c r="D11" s="137">
        <f>B11*C11</f>
        <v>17</v>
      </c>
      <c r="E11" s="137" t="s">
        <v>19</v>
      </c>
      <c r="F11" s="242" t="s">
        <v>125</v>
      </c>
      <c r="H11" s="126" t="s">
        <v>126</v>
      </c>
      <c r="I11" s="126">
        <v>0.7</v>
      </c>
      <c r="J11" s="126">
        <v>20</v>
      </c>
      <c r="K11" s="126">
        <f t="shared" ref="K11:K12" si="0">I11*J11</f>
        <v>14</v>
      </c>
      <c r="L11" s="28" t="s">
        <v>127</v>
      </c>
    </row>
    <row r="12" spans="1:12" ht="60.75">
      <c r="A12" s="133" t="s">
        <v>128</v>
      </c>
      <c r="B12" s="134">
        <v>1</v>
      </c>
      <c r="C12" s="134">
        <v>20</v>
      </c>
      <c r="D12" s="134">
        <f>B12*C12</f>
        <v>20</v>
      </c>
      <c r="E12" s="140" t="s">
        <v>19</v>
      </c>
      <c r="F12" s="135"/>
      <c r="H12" s="126" t="s">
        <v>129</v>
      </c>
      <c r="I12" s="126">
        <v>0.8</v>
      </c>
      <c r="J12" s="126">
        <v>60</v>
      </c>
      <c r="K12" s="126">
        <f>I12*J12</f>
        <v>48</v>
      </c>
      <c r="L12" s="244" t="s">
        <v>130</v>
      </c>
    </row>
    <row r="13" spans="1:12">
      <c r="A13" s="136" t="s">
        <v>131</v>
      </c>
      <c r="B13" s="137">
        <v>1</v>
      </c>
      <c r="C13" s="137">
        <v>20</v>
      </c>
      <c r="D13" s="137">
        <f>B13*C13</f>
        <v>20</v>
      </c>
      <c r="E13" s="137" t="s">
        <v>19</v>
      </c>
      <c r="F13" s="138"/>
      <c r="H13" s="243"/>
      <c r="I13"/>
      <c r="J13" s="245" t="s">
        <v>3</v>
      </c>
      <c r="K13" s="126">
        <f>SUM(K9:K12)</f>
        <v>79</v>
      </c>
    </row>
    <row r="14" spans="1:12">
      <c r="A14" s="141" t="s">
        <v>132</v>
      </c>
      <c r="B14" s="142"/>
      <c r="C14" s="142">
        <f>SUM(C8:C13)</f>
        <v>100</v>
      </c>
      <c r="D14" s="143">
        <f>(SUM(D8:D13)+D16+D17)/C14</f>
        <v>0.95</v>
      </c>
      <c r="E14" s="143"/>
      <c r="F14" s="144"/>
    </row>
    <row r="15" spans="1:12">
      <c r="A15" s="145" t="s">
        <v>133</v>
      </c>
      <c r="B15" s="146" t="s">
        <v>15</v>
      </c>
      <c r="C15" s="146" t="s">
        <v>5</v>
      </c>
      <c r="D15" s="147" t="s">
        <v>116</v>
      </c>
      <c r="E15" s="147"/>
      <c r="F15" s="148" t="s">
        <v>16</v>
      </c>
    </row>
    <row r="16" spans="1:12">
      <c r="A16" s="149" t="s">
        <v>134</v>
      </c>
      <c r="B16" s="150"/>
      <c r="C16" s="151">
        <v>-10</v>
      </c>
      <c r="D16" s="150">
        <f>B16*C16</f>
        <v>0</v>
      </c>
      <c r="E16" s="150"/>
      <c r="F16" s="152"/>
    </row>
    <row r="17" spans="1:6">
      <c r="A17" s="153" t="s">
        <v>135</v>
      </c>
      <c r="B17" s="154"/>
      <c r="C17" s="155">
        <v>-15</v>
      </c>
      <c r="D17" s="154">
        <f>B17*C17</f>
        <v>0</v>
      </c>
      <c r="E17" s="154"/>
      <c r="F17" s="156"/>
    </row>
    <row r="18" spans="1:6">
      <c r="A18" s="157" t="s">
        <v>136</v>
      </c>
      <c r="B18" s="158">
        <f>K13/100</f>
        <v>0.79</v>
      </c>
      <c r="C18" s="159">
        <v>10</v>
      </c>
      <c r="D18" s="160">
        <f>C18*B18/10</f>
        <v>0.79</v>
      </c>
      <c r="E18" s="158"/>
      <c r="F18" s="161"/>
    </row>
    <row r="19" spans="1:6">
      <c r="A19" s="162"/>
      <c r="B19" s="163"/>
      <c r="C19" s="164"/>
      <c r="D19" s="165"/>
      <c r="E19" s="163"/>
      <c r="F19" s="166"/>
    </row>
    <row r="20" spans="1:6" ht="23.25" customHeight="1">
      <c r="A20" s="268" t="s">
        <v>8</v>
      </c>
      <c r="B20" s="268"/>
      <c r="C20" s="268"/>
      <c r="D20" s="268"/>
      <c r="E20" s="268"/>
      <c r="F20" s="268"/>
    </row>
    <row r="21" spans="1:6">
      <c r="A21" s="167" t="s">
        <v>115</v>
      </c>
      <c r="B21" s="168" t="s">
        <v>15</v>
      </c>
      <c r="C21" s="168" t="s">
        <v>5</v>
      </c>
      <c r="D21" s="168" t="s">
        <v>116</v>
      </c>
      <c r="E21" s="169" t="s">
        <v>18</v>
      </c>
      <c r="F21" s="170" t="s">
        <v>16</v>
      </c>
    </row>
    <row r="22" spans="1:6">
      <c r="A22" s="171" t="s">
        <v>137</v>
      </c>
      <c r="B22" s="172"/>
      <c r="C22" s="172">
        <v>15</v>
      </c>
      <c r="D22" s="172">
        <f>B22*C22</f>
        <v>0</v>
      </c>
      <c r="E22" s="172"/>
      <c r="F22" s="173"/>
    </row>
    <row r="23" spans="1:6" ht="14.25">
      <c r="A23" s="174" t="s">
        <v>138</v>
      </c>
      <c r="B23" s="175"/>
      <c r="C23" s="175">
        <v>15</v>
      </c>
      <c r="D23" s="175">
        <f>B23*C23</f>
        <v>0</v>
      </c>
      <c r="E23" s="175"/>
      <c r="F23" s="176"/>
    </row>
    <row r="24" spans="1:6">
      <c r="A24" s="171" t="s">
        <v>139</v>
      </c>
      <c r="B24" s="172"/>
      <c r="C24" s="172">
        <v>20</v>
      </c>
      <c r="D24" s="172">
        <f>B24*C24</f>
        <v>0</v>
      </c>
      <c r="E24" s="172"/>
      <c r="F24" s="177"/>
    </row>
    <row r="25" spans="1:6">
      <c r="A25" s="178" t="s">
        <v>140</v>
      </c>
      <c r="B25" s="175"/>
      <c r="C25" s="175">
        <v>30</v>
      </c>
      <c r="D25" s="175">
        <f>B25*C25</f>
        <v>0</v>
      </c>
      <c r="E25" s="175"/>
      <c r="F25" s="176"/>
    </row>
    <row r="26" spans="1:6">
      <c r="A26" s="172" t="s">
        <v>141</v>
      </c>
      <c r="B26" s="172"/>
      <c r="C26" s="172">
        <v>10</v>
      </c>
      <c r="D26" s="172">
        <f>B26*C26</f>
        <v>0</v>
      </c>
      <c r="E26" s="172"/>
      <c r="F26" s="177"/>
    </row>
    <row r="27" spans="1:6">
      <c r="A27" s="175" t="s">
        <v>142</v>
      </c>
      <c r="B27" s="175"/>
      <c r="C27" s="175">
        <v>10</v>
      </c>
      <c r="D27" s="175">
        <f>B27*C27</f>
        <v>0</v>
      </c>
      <c r="E27" s="175"/>
      <c r="F27" s="176"/>
    </row>
    <row r="28" spans="1:6">
      <c r="A28" s="179" t="s">
        <v>132</v>
      </c>
      <c r="B28" s="180"/>
      <c r="C28" s="180">
        <f>SUM(C22:C27)</f>
        <v>100</v>
      </c>
      <c r="D28" s="181">
        <f>(SUM(D22:D27) + D30+D31+D32)/C28</f>
        <v>0</v>
      </c>
      <c r="E28" s="181"/>
      <c r="F28" s="182"/>
    </row>
    <row r="29" spans="1:6">
      <c r="A29" s="183" t="s">
        <v>133</v>
      </c>
      <c r="B29" s="184" t="s">
        <v>15</v>
      </c>
      <c r="C29" s="184" t="s">
        <v>5</v>
      </c>
      <c r="D29" s="185" t="s">
        <v>116</v>
      </c>
      <c r="E29" s="185"/>
      <c r="F29" s="186" t="s">
        <v>16</v>
      </c>
    </row>
    <row r="30" spans="1:6">
      <c r="A30" s="187" t="s">
        <v>134</v>
      </c>
      <c r="B30" s="188">
        <v>0</v>
      </c>
      <c r="C30" s="189">
        <v>-10</v>
      </c>
      <c r="D30" s="188">
        <f>B30*C30</f>
        <v>0</v>
      </c>
      <c r="E30" s="188"/>
      <c r="F30" s="190"/>
    </row>
    <row r="31" spans="1:6">
      <c r="A31" s="171" t="s">
        <v>143</v>
      </c>
      <c r="B31" s="191">
        <v>0</v>
      </c>
      <c r="C31" s="192">
        <v>-15</v>
      </c>
      <c r="D31" s="191">
        <f>B31*C31</f>
        <v>0</v>
      </c>
      <c r="E31" s="191"/>
      <c r="F31" s="193"/>
    </row>
    <row r="32" spans="1:6">
      <c r="A32" s="194" t="s">
        <v>144</v>
      </c>
      <c r="B32" s="195">
        <v>0</v>
      </c>
      <c r="C32" s="196">
        <v>-5</v>
      </c>
      <c r="D32" s="195">
        <f>B32*C32</f>
        <v>0</v>
      </c>
      <c r="E32" s="195"/>
      <c r="F32" s="197"/>
    </row>
    <row r="33" spans="1:6">
      <c r="A33" s="198" t="s">
        <v>136</v>
      </c>
      <c r="B33" s="199"/>
      <c r="C33" s="200">
        <v>10</v>
      </c>
      <c r="D33" s="201">
        <f>C33*B33/10</f>
        <v>0</v>
      </c>
      <c r="E33" s="199"/>
      <c r="F33" s="202"/>
    </row>
    <row r="34" spans="1:6">
      <c r="A34" s="203"/>
      <c r="B34" s="204"/>
      <c r="C34" s="205"/>
      <c r="D34" s="204"/>
      <c r="E34" s="204"/>
      <c r="F34" s="206"/>
    </row>
    <row r="35" spans="1:6" ht="23.25">
      <c r="A35" s="269" t="s">
        <v>9</v>
      </c>
      <c r="B35" s="269"/>
      <c r="C35" s="269"/>
      <c r="D35" s="269"/>
      <c r="E35" s="269"/>
      <c r="F35" s="269"/>
    </row>
    <row r="36" spans="1:6">
      <c r="A36" s="207" t="s">
        <v>115</v>
      </c>
      <c r="B36" s="208" t="s">
        <v>15</v>
      </c>
      <c r="C36" s="208" t="s">
        <v>5</v>
      </c>
      <c r="D36" s="208" t="s">
        <v>116</v>
      </c>
      <c r="E36" s="208" t="s">
        <v>18</v>
      </c>
      <c r="F36" s="209" t="s">
        <v>16</v>
      </c>
    </row>
    <row r="37" spans="1:6" ht="13.9">
      <c r="A37" s="210" t="s">
        <v>145</v>
      </c>
      <c r="B37" s="211"/>
      <c r="C37" s="211">
        <v>20</v>
      </c>
      <c r="D37" s="211">
        <f>B37*C37</f>
        <v>0</v>
      </c>
      <c r="E37" s="211"/>
      <c r="F37" s="212"/>
    </row>
    <row r="38" spans="1:6">
      <c r="A38" s="213" t="s">
        <v>146</v>
      </c>
      <c r="B38" s="214"/>
      <c r="C38" s="214">
        <v>20</v>
      </c>
      <c r="D38" s="214">
        <f>B38*C38</f>
        <v>0</v>
      </c>
      <c r="E38" s="214"/>
      <c r="F38" s="215"/>
    </row>
    <row r="39" spans="1:6">
      <c r="A39" s="216" t="s">
        <v>147</v>
      </c>
      <c r="B39" s="211"/>
      <c r="C39" s="211">
        <v>20</v>
      </c>
      <c r="D39" s="211">
        <f>B39*C39</f>
        <v>0</v>
      </c>
      <c r="E39" s="211"/>
      <c r="F39" s="217"/>
    </row>
    <row r="40" spans="1:6">
      <c r="A40" s="213" t="s">
        <v>148</v>
      </c>
      <c r="B40" s="214"/>
      <c r="C40" s="214">
        <v>15</v>
      </c>
      <c r="D40" s="214">
        <f>B40*C40</f>
        <v>0</v>
      </c>
      <c r="E40" s="214"/>
      <c r="F40" s="215"/>
    </row>
    <row r="41" spans="1:6">
      <c r="A41" s="216" t="s">
        <v>149</v>
      </c>
      <c r="B41" s="211"/>
      <c r="C41" s="211">
        <v>10</v>
      </c>
      <c r="D41" s="211">
        <f>B41*C41</f>
        <v>0</v>
      </c>
      <c r="E41" s="211"/>
      <c r="F41" s="217"/>
    </row>
    <row r="42" spans="1:6">
      <c r="A42" s="213" t="s">
        <v>150</v>
      </c>
      <c r="B42" s="214"/>
      <c r="C42" s="214">
        <v>15</v>
      </c>
      <c r="D42" s="214">
        <f>B42*C42</f>
        <v>0</v>
      </c>
      <c r="E42" s="214"/>
      <c r="F42" s="215"/>
    </row>
    <row r="43" spans="1:6">
      <c r="A43" s="218" t="s">
        <v>132</v>
      </c>
      <c r="B43" s="219"/>
      <c r="C43" s="219">
        <f>SUM(C37:C42)</f>
        <v>100</v>
      </c>
      <c r="D43" s="220">
        <f>(SUM(D37:D42) +D45+D46+D47)/C43</f>
        <v>0</v>
      </c>
      <c r="E43" s="220"/>
      <c r="F43" s="221"/>
    </row>
    <row r="44" spans="1:6">
      <c r="A44" s="222" t="s">
        <v>133</v>
      </c>
      <c r="B44" s="223" t="s">
        <v>15</v>
      </c>
      <c r="C44" s="223" t="s">
        <v>5</v>
      </c>
      <c r="D44" s="224" t="s">
        <v>116</v>
      </c>
      <c r="E44" s="224"/>
      <c r="F44" s="225" t="s">
        <v>16</v>
      </c>
    </row>
    <row r="45" spans="1:6">
      <c r="A45" s="226" t="s">
        <v>134</v>
      </c>
      <c r="B45" s="227">
        <v>0</v>
      </c>
      <c r="C45" s="228">
        <v>-10</v>
      </c>
      <c r="D45" s="227">
        <f>B45*C45</f>
        <v>0</v>
      </c>
      <c r="E45" s="227"/>
      <c r="F45" s="229"/>
    </row>
    <row r="46" spans="1:6">
      <c r="A46" s="216" t="s">
        <v>143</v>
      </c>
      <c r="B46" s="230">
        <v>0</v>
      </c>
      <c r="C46" s="231">
        <v>-15</v>
      </c>
      <c r="D46" s="230">
        <f>B46*C46</f>
        <v>0</v>
      </c>
      <c r="E46" s="230"/>
      <c r="F46" s="232"/>
    </row>
    <row r="47" spans="1:6">
      <c r="A47" s="233" t="s">
        <v>144</v>
      </c>
      <c r="B47" s="234">
        <v>0</v>
      </c>
      <c r="C47" s="235">
        <v>-5</v>
      </c>
      <c r="D47" s="234">
        <f>B47*C47</f>
        <v>0</v>
      </c>
      <c r="E47" s="234"/>
      <c r="F47" s="236"/>
    </row>
    <row r="48" spans="1:6">
      <c r="A48" s="218" t="s">
        <v>136</v>
      </c>
      <c r="B48" s="237"/>
      <c r="C48" s="238">
        <v>10</v>
      </c>
      <c r="D48" s="239">
        <f>C48*B48/10</f>
        <v>0</v>
      </c>
      <c r="E48" s="237"/>
      <c r="F48" s="240"/>
    </row>
  </sheetData>
  <mergeCells count="4">
    <mergeCell ref="A2:F2"/>
    <mergeCell ref="A6:F6"/>
    <mergeCell ref="A20:F20"/>
    <mergeCell ref="A35:F35"/>
  </mergeCells>
  <dataValidations count="2">
    <dataValidation type="decimal" allowBlank="1" showInputMessage="1" showErrorMessage="1" sqref="B8:B14 B16:B19 D17:E19 B22:B27 B30:B34 B37:B42 B45:B48" xr:uid="{00000000-0002-0000-0200-000000000000}">
      <formula1>0</formula1>
      <formula2>1</formula2>
    </dataValidation>
    <dataValidation type="whole" allowBlank="1" showInputMessage="1" showErrorMessage="1" sqref="D31:E31 D46:E46" xr:uid="{00000000-0002-0000-0200-000001000000}">
      <formula1>0</formula1>
      <formula2>1</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Emilio</dc:creator>
  <cp:keywords/>
  <dc:description/>
  <cp:lastModifiedBy>Nikolay Radoev</cp:lastModifiedBy>
  <cp:revision>9</cp:revision>
  <dcterms:created xsi:type="dcterms:W3CDTF">2006-09-16T00:00:00Z</dcterms:created>
  <dcterms:modified xsi:type="dcterms:W3CDTF">2026-03-05T14:43:23Z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0x010100B41E0342602C49449CD93109DBCAB8C5</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